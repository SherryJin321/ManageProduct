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/>
  </bookViews>
  <sheets>
    <sheet name="CAAC证书" sheetId="1" r:id="rId1"/>
    <sheet name="FAA证书" sheetId="2" r:id="rId2"/>
  </sheets>
  <definedNames>
    <definedName name="_xlnm._FilterDatabase" localSheetId="0" hidden="1">CAAC证书!$B$2:$J$3</definedName>
  </definedNames>
  <calcPr calcId="144525"/>
</workbook>
</file>

<file path=xl/calcChain.xml><?xml version="1.0" encoding="utf-8"?>
<calcChain xmlns="http://schemas.openxmlformats.org/spreadsheetml/2006/main">
  <c r="I58" i="1" l="1"/>
  <c r="J58" i="1" s="1"/>
  <c r="I57" i="1" l="1"/>
  <c r="J57" i="1" s="1"/>
  <c r="I4" i="1" l="1"/>
  <c r="J4" i="1" s="1"/>
  <c r="I4" i="2" l="1"/>
  <c r="J4" i="2" s="1"/>
  <c r="K4" i="2" s="1"/>
  <c r="I79" i="1" l="1"/>
  <c r="I96" i="1"/>
  <c r="I97" i="1"/>
  <c r="I18" i="1"/>
  <c r="I110" i="1"/>
  <c r="I103" i="1"/>
  <c r="I100" i="1"/>
  <c r="I51" i="1"/>
  <c r="I109" i="1"/>
  <c r="I81" i="1"/>
  <c r="I95" i="1"/>
  <c r="I8" i="1"/>
  <c r="I12" i="1"/>
  <c r="I13" i="1"/>
  <c r="I14" i="1"/>
  <c r="I15" i="1"/>
  <c r="I16" i="1"/>
  <c r="I5" i="1"/>
  <c r="J5" i="1" s="1"/>
  <c r="I6" i="1"/>
  <c r="I72" i="1"/>
  <c r="I71" i="1"/>
  <c r="I70" i="1"/>
  <c r="I68" i="1"/>
  <c r="I69" i="1"/>
  <c r="I67" i="1"/>
  <c r="I65" i="1"/>
  <c r="I66" i="1"/>
  <c r="I64" i="1"/>
  <c r="I55" i="1"/>
  <c r="I11" i="1"/>
  <c r="I111" i="1"/>
  <c r="I99" i="1"/>
  <c r="I102" i="1"/>
  <c r="I107" i="1"/>
  <c r="I105" i="1"/>
  <c r="I108" i="1"/>
  <c r="I106" i="1"/>
  <c r="I52" i="1"/>
  <c r="I104" i="1"/>
  <c r="I17" i="1"/>
  <c r="I112" i="1"/>
  <c r="I7" i="1"/>
  <c r="J107" i="1" l="1"/>
  <c r="J81" i="1"/>
  <c r="J17" i="1"/>
  <c r="J108" i="1"/>
  <c r="J99" i="1"/>
  <c r="J64" i="1"/>
  <c r="J69" i="1"/>
  <c r="J72" i="1"/>
  <c r="J15" i="1"/>
  <c r="J8" i="1"/>
  <c r="J51" i="1"/>
  <c r="J18" i="1"/>
  <c r="J79" i="1"/>
  <c r="J104" i="1"/>
  <c r="J105" i="1"/>
  <c r="J111" i="1"/>
  <c r="J66" i="1"/>
  <c r="J68" i="1"/>
  <c r="J6" i="1"/>
  <c r="J14" i="1"/>
  <c r="J95" i="1"/>
  <c r="J100" i="1"/>
  <c r="J97" i="1"/>
  <c r="J7" i="1"/>
  <c r="J52" i="1"/>
  <c r="J11" i="1"/>
  <c r="J65" i="1"/>
  <c r="J70" i="1"/>
  <c r="J13" i="1"/>
  <c r="J103" i="1"/>
  <c r="J112" i="1"/>
  <c r="J106" i="1"/>
  <c r="J102" i="1"/>
  <c r="J55" i="1"/>
  <c r="J67" i="1"/>
  <c r="J71" i="1"/>
  <c r="J16" i="1"/>
  <c r="J12" i="1"/>
  <c r="J109" i="1"/>
  <c r="J110" i="1"/>
  <c r="J96" i="1"/>
  <c r="I23" i="1"/>
  <c r="I19" i="1"/>
  <c r="I20" i="1"/>
  <c r="I22" i="1"/>
  <c r="I21" i="1"/>
  <c r="I24" i="1"/>
  <c r="I25" i="1"/>
  <c r="I26" i="1"/>
  <c r="I27" i="1"/>
  <c r="I31" i="1"/>
  <c r="I30" i="1"/>
  <c r="I29" i="1"/>
  <c r="I28" i="1"/>
  <c r="I92" i="1"/>
  <c r="I9" i="1"/>
  <c r="I80" i="1"/>
  <c r="I10" i="1"/>
  <c r="I98" i="1"/>
  <c r="I101" i="1"/>
  <c r="I38" i="1"/>
  <c r="I39" i="1"/>
  <c r="I40" i="1"/>
  <c r="I42" i="1"/>
  <c r="I41" i="1"/>
  <c r="I46" i="1"/>
  <c r="I44" i="1"/>
  <c r="I43" i="1"/>
  <c r="I45" i="1"/>
  <c r="I50" i="1"/>
  <c r="I49" i="1"/>
  <c r="I48" i="1"/>
  <c r="I47" i="1"/>
  <c r="J49" i="1" l="1"/>
  <c r="J40" i="1"/>
  <c r="J92" i="1"/>
  <c r="J31" i="1"/>
  <c r="J19" i="1"/>
  <c r="J50" i="1"/>
  <c r="J46" i="1"/>
  <c r="J39" i="1"/>
  <c r="J10" i="1"/>
  <c r="J28" i="1"/>
  <c r="J27" i="1"/>
  <c r="J21" i="1"/>
  <c r="J23" i="1"/>
  <c r="J45" i="1"/>
  <c r="J38" i="1"/>
  <c r="J26" i="1"/>
  <c r="J47" i="1"/>
  <c r="J41" i="1"/>
  <c r="J80" i="1"/>
  <c r="J29" i="1"/>
  <c r="J22" i="1"/>
  <c r="J48" i="1"/>
  <c r="J43" i="1"/>
  <c r="J42" i="1"/>
  <c r="J101" i="1"/>
  <c r="J9" i="1"/>
  <c r="J30" i="1"/>
  <c r="J25" i="1"/>
  <c r="J20" i="1"/>
  <c r="J44" i="1"/>
  <c r="J98" i="1"/>
  <c r="J24" i="1"/>
  <c r="I94" i="1"/>
  <c r="I37" i="1"/>
  <c r="I87" i="1"/>
  <c r="I56" i="1"/>
  <c r="I86" i="1"/>
  <c r="I75" i="1"/>
  <c r="I34" i="1"/>
  <c r="I89" i="1"/>
  <c r="I88" i="1"/>
  <c r="I76" i="1"/>
  <c r="I35" i="1"/>
  <c r="I91" i="1"/>
  <c r="I90" i="1"/>
  <c r="I77" i="1"/>
  <c r="I36" i="1"/>
  <c r="I78" i="1"/>
  <c r="I33" i="1"/>
  <c r="J33" i="1" l="1"/>
  <c r="J88" i="1"/>
  <c r="J86" i="1"/>
  <c r="J78" i="1"/>
  <c r="J91" i="1"/>
  <c r="J89" i="1"/>
  <c r="J56" i="1"/>
  <c r="J35" i="1"/>
  <c r="J87" i="1"/>
  <c r="J36" i="1"/>
  <c r="J34" i="1"/>
  <c r="J77" i="1"/>
  <c r="J76" i="1"/>
  <c r="J75" i="1"/>
  <c r="J37" i="1"/>
  <c r="J90" i="1"/>
  <c r="J94" i="1"/>
  <c r="I61" i="1"/>
  <c r="I60" i="1"/>
  <c r="I59" i="1"/>
  <c r="I32" i="1"/>
  <c r="I63" i="1"/>
  <c r="I62" i="1"/>
  <c r="I93" i="1"/>
  <c r="I82" i="1"/>
  <c r="I74" i="1"/>
  <c r="I54" i="1"/>
  <c r="I85" i="1"/>
  <c r="I84" i="1"/>
  <c r="J93" i="1" l="1"/>
  <c r="J54" i="1"/>
  <c r="J62" i="1"/>
  <c r="J60" i="1"/>
  <c r="J74" i="1"/>
  <c r="J85" i="1"/>
  <c r="J63" i="1"/>
  <c r="J61" i="1"/>
  <c r="J84" i="1"/>
  <c r="J82" i="1"/>
  <c r="J32" i="1"/>
  <c r="J59" i="1"/>
  <c r="I53" i="1"/>
  <c r="I83" i="1"/>
  <c r="I73" i="1"/>
  <c r="J73" i="1" l="1"/>
  <c r="J53" i="1"/>
  <c r="J83" i="1"/>
</calcChain>
</file>

<file path=xl/sharedStrings.xml><?xml version="1.0" encoding="utf-8"?>
<sst xmlns="http://schemas.openxmlformats.org/spreadsheetml/2006/main" count="564" uniqueCount="324">
  <si>
    <t>EUL-AP</t>
    <phoneticPr fontId="1" type="noConversion"/>
  </si>
  <si>
    <t>VA16-249</t>
    <phoneticPr fontId="1" type="noConversion"/>
  </si>
  <si>
    <t>EUL-AP-LED</t>
    <phoneticPr fontId="1" type="noConversion"/>
  </si>
  <si>
    <t>VA16-028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</si>
  <si>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</si>
  <si>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</si>
  <si>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</si>
  <si>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</si>
  <si>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</si>
  <si>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</si>
  <si>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</si>
  <si>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</si>
  <si>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</si>
  <si>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</si>
  <si>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</si>
  <si>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</si>
  <si>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</si>
  <si>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</si>
  <si>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</si>
  <si>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</si>
  <si>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</si>
  <si>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</si>
  <si>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</si>
  <si>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</si>
  <si>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</si>
  <si>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</si>
  <si>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</si>
  <si>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</si>
  <si>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</si>
  <si>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</si>
  <si>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r>
      <rPr>
        <b/>
        <sz val="16"/>
        <color theme="1"/>
        <rFont val="仿宋"/>
        <family val="3"/>
        <charset val="134"/>
      </rPr>
      <t>设备型号</t>
    </r>
    <phoneticPr fontId="1" type="noConversion"/>
  </si>
  <si>
    <r>
      <rPr>
        <b/>
        <sz val="16"/>
        <color theme="1"/>
        <rFont val="仿宋"/>
        <family val="3"/>
        <charset val="134"/>
      </rPr>
      <t>通告日期</t>
    </r>
    <phoneticPr fontId="1" type="noConversion"/>
  </si>
  <si>
    <r>
      <rPr>
        <b/>
        <sz val="16"/>
        <color theme="1"/>
        <rFont val="仿宋"/>
        <family val="3"/>
        <charset val="134"/>
      </rPr>
      <t>有效期</t>
    </r>
    <phoneticPr fontId="1" type="noConversion"/>
  </si>
  <si>
    <r>
      <rPr>
        <b/>
        <sz val="16"/>
        <color theme="1"/>
        <rFont val="仿宋"/>
        <family val="3"/>
        <charset val="134"/>
      </rPr>
      <t>当前时间</t>
    </r>
    <phoneticPr fontId="1" type="noConversion"/>
  </si>
  <si>
    <r>
      <rPr>
        <b/>
        <sz val="16"/>
        <color theme="1"/>
        <rFont val="仿宋"/>
        <family val="3"/>
        <charset val="134"/>
      </rPr>
      <t>剩余时间（天）</t>
    </r>
    <phoneticPr fontId="1" type="noConversion"/>
  </si>
  <si>
    <r>
      <rPr>
        <b/>
        <sz val="16"/>
        <color theme="1"/>
        <rFont val="仿宋"/>
        <family val="3"/>
        <charset val="134"/>
      </rPr>
      <t>剩余有效时间（月）</t>
    </r>
    <phoneticPr fontId="1" type="noConversion"/>
  </si>
  <si>
    <r>
      <rPr>
        <b/>
        <sz val="16"/>
        <color theme="1"/>
        <rFont val="仿宋"/>
        <family val="3"/>
        <charset val="134"/>
      </rPr>
      <t>开始日期</t>
    </r>
    <phoneticPr fontId="1" type="noConversion"/>
  </si>
  <si>
    <r>
      <rPr>
        <b/>
        <sz val="16"/>
        <color theme="1"/>
        <rFont val="仿宋"/>
        <family val="3"/>
        <charset val="134"/>
      </rPr>
      <t>截止日期</t>
    </r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</si>
  <si>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</si>
  <si>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</si>
  <si>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</si>
  <si>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</si>
  <si>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</si>
  <si>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</si>
  <si>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</si>
  <si>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</si>
  <si>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VA16-300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</si>
  <si>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</si>
  <si>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</si>
  <si>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</si>
  <si>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</si>
  <si>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</si>
  <si>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</si>
  <si>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</si>
  <si>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</si>
  <si>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</si>
  <si>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</si>
  <si>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</si>
  <si>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</si>
  <si>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</si>
  <si>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</si>
  <si>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</si>
  <si>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THWS-12-R-LED-G-M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</si>
  <si>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</si>
  <si>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</si>
  <si>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</si>
  <si>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</si>
  <si>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</si>
  <si>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</si>
  <si>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</si>
  <si>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END-12-105-R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</si>
  <si>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</si>
  <si>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</si>
  <si>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</si>
  <si>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</si>
  <si>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</si>
  <si>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</si>
  <si>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</si>
  <si>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TCLM-08</t>
    <phoneticPr fontId="1" type="noConversion"/>
  </si>
  <si>
    <t>LF11R004</t>
    <phoneticPr fontId="1" type="noConversion"/>
  </si>
  <si>
    <t>TCLM-08</t>
    <phoneticPr fontId="1" type="noConversion"/>
  </si>
  <si>
    <t>LF11R005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</si>
  <si>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</si>
  <si>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</si>
  <si>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</si>
  <si>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</si>
  <si>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</si>
  <si>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</si>
  <si>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</si>
  <si>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</si>
  <si>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</si>
  <si>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</si>
  <si>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</si>
  <si>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</si>
  <si>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</si>
  <si>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</si>
  <si>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</si>
  <si>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</si>
  <si>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</si>
  <si>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</si>
  <si>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</si>
  <si>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</si>
  <si>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</si>
  <si>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</si>
  <si>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</si>
  <si>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</si>
  <si>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</si>
  <si>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</si>
  <si>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</si>
  <si>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</si>
  <si>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</si>
  <si>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</si>
  <si>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TCLMS-08-S-LED-YY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</si>
  <si>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</si>
  <si>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</si>
  <si>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</si>
  <si>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</si>
  <si>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</si>
  <si>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</si>
  <si>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</si>
  <si>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</si>
  <si>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</si>
  <si>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</si>
  <si>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</si>
  <si>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</si>
  <si>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</si>
  <si>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</si>
  <si>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</si>
  <si>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</si>
  <si>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</si>
  <si>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</si>
  <si>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</si>
  <si>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</si>
  <si>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</si>
  <si>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</si>
  <si>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</si>
  <si>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DTCLM-08-S</t>
    <phoneticPr fontId="1" type="noConversion"/>
  </si>
  <si>
    <t>LF12R100</t>
    <phoneticPr fontId="1" type="noConversion"/>
  </si>
  <si>
    <t>DTCLM-08-C</t>
    <phoneticPr fontId="1" type="noConversion"/>
  </si>
  <si>
    <t>LF12R101</t>
    <phoneticPr fontId="1" type="noConversion"/>
  </si>
  <si>
    <t>VA15-121</t>
    <phoneticPr fontId="1" type="noConversion"/>
  </si>
  <si>
    <t>TOL-08</t>
    <phoneticPr fontId="1" type="noConversion"/>
  </si>
  <si>
    <t>VA15-009</t>
    <phoneticPr fontId="1" type="noConversion"/>
  </si>
  <si>
    <t>TOL-08</t>
    <phoneticPr fontId="1" type="noConversion"/>
  </si>
  <si>
    <t>LF13R042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</si>
  <si>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</si>
  <si>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</si>
  <si>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</si>
  <si>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TCLM-08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</si>
  <si>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</si>
  <si>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</si>
  <si>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</si>
  <si>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</si>
  <si>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</si>
  <si>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</si>
  <si>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</si>
  <si>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</si>
  <si>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LF11R004</t>
    <phoneticPr fontId="1" type="noConversion"/>
  </si>
  <si>
    <t>TPLMS-08-S-LED-YB</t>
    <phoneticPr fontId="1" type="noConversion"/>
  </si>
  <si>
    <t>VA15-120</t>
    <phoneticPr fontId="1" type="noConversion"/>
  </si>
  <si>
    <t>DTCLM-08-C</t>
    <phoneticPr fontId="1" type="noConversion"/>
  </si>
  <si>
    <t>LF12R101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</si>
  <si>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</si>
  <si>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</si>
  <si>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</si>
  <si>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</si>
  <si>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</si>
  <si>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</si>
  <si>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VR16-031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</si>
  <si>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</si>
  <si>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</si>
  <si>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</si>
  <si>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</si>
  <si>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ITF-150-6.6/6.6</t>
    <phoneticPr fontId="1" type="noConversion"/>
  </si>
  <si>
    <t>VR16-034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</si>
  <si>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</si>
  <si>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</si>
  <si>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</si>
  <si>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</si>
  <si>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</si>
  <si>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</si>
  <si>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</si>
  <si>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</si>
  <si>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</si>
  <si>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</si>
  <si>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</si>
  <si>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</si>
  <si>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</si>
  <si>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</si>
  <si>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</si>
  <si>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</si>
  <si>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ES12R004</t>
    <phoneticPr fontId="1" type="noConversion"/>
  </si>
  <si>
    <t>设备名称</t>
    <phoneticPr fontId="1" type="noConversion"/>
  </si>
  <si>
    <t>产品名称</t>
    <phoneticPr fontId="1" type="noConversion"/>
  </si>
  <si>
    <t>通告编号</t>
    <phoneticPr fontId="1" type="noConversion"/>
  </si>
  <si>
    <t>产品认证证书有效期管控（CAAC证书）</t>
  </si>
  <si>
    <t>产品认证证书有效期管控（FAA证书）</t>
  </si>
  <si>
    <t>RCL-08</t>
  </si>
  <si>
    <t>L-850-Lights, Runway, Inpavement</t>
  </si>
  <si>
    <t>100441792CRT-001</t>
  </si>
  <si>
    <t>LF11R051</t>
  </si>
  <si>
    <t>产品名称</t>
    <phoneticPr fontId="1" type="noConversion"/>
  </si>
  <si>
    <t>设备名称</t>
    <phoneticPr fontId="1" type="noConversion"/>
  </si>
  <si>
    <t>设备型号</t>
    <phoneticPr fontId="1" type="noConversion"/>
  </si>
  <si>
    <t>通告编号</t>
    <phoneticPr fontId="1" type="noConversion"/>
  </si>
  <si>
    <t>通告日期</t>
    <phoneticPr fontId="1" type="noConversion"/>
  </si>
  <si>
    <t>开始日期</t>
    <phoneticPr fontId="1" type="noConversion"/>
  </si>
  <si>
    <t>截止日期</t>
    <phoneticPr fontId="1" type="noConversion"/>
  </si>
  <si>
    <t>有效期</t>
    <phoneticPr fontId="1" type="noConversion"/>
  </si>
  <si>
    <t>当前时间</t>
    <phoneticPr fontId="1" type="noConversion"/>
  </si>
  <si>
    <t>是否继续认证</t>
    <phoneticPr fontId="1" type="noConversion"/>
  </si>
  <si>
    <t>是</t>
  </si>
  <si>
    <t>是</t>
    <phoneticPr fontId="1" type="noConversion"/>
  </si>
  <si>
    <t>否</t>
  </si>
  <si>
    <t>否</t>
    <phoneticPr fontId="1" type="noConversion"/>
  </si>
  <si>
    <t>剩余有效时间（月）</t>
    <phoneticPr fontId="1" type="noConversion"/>
  </si>
  <si>
    <t>滑行道引导标记牌</t>
    <phoneticPr fontId="1" type="noConversion"/>
  </si>
  <si>
    <t>是</t>
    <phoneticPr fontId="1" type="noConversion"/>
  </si>
  <si>
    <t>请插入新行，添加新的产品认证信息…</t>
    <phoneticPr fontId="1" type="noConversion"/>
  </si>
  <si>
    <t>否</t>
    <phoneticPr fontId="1" type="noConversion"/>
  </si>
  <si>
    <t>ETEL-R</t>
    <phoneticPr fontId="1" type="noConversion"/>
  </si>
  <si>
    <t>停止排灯（错窗型）</t>
    <phoneticPr fontId="1" type="noConversion"/>
  </si>
  <si>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</si>
  <si>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立式跑道末端灯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</si>
  <si>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</si>
  <si>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滑行道引导标记牌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</si>
  <si>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立式跑道边灯</t>
    </r>
    <phoneticPr fontId="1" type="noConversion"/>
  </si>
  <si>
    <r>
      <rPr>
        <sz val="14"/>
        <color indexed="22"/>
        <rFont val="仿宋"/>
        <family val="3"/>
        <charset val="134"/>
      </rPr>
      <t>立式航空障碍灯（低光强</t>
    </r>
    <r>
      <rPr>
        <sz val="14"/>
        <color indexed="22"/>
        <rFont val="Times New Roman"/>
        <family val="1"/>
      </rPr>
      <t>LED</t>
    </r>
    <r>
      <rPr>
        <sz val="14"/>
        <color indexed="22"/>
        <rFont val="仿宋"/>
        <family val="3"/>
        <charset val="134"/>
      </rPr>
      <t>）</t>
    </r>
    <phoneticPr fontId="1" type="noConversion"/>
  </si>
  <si>
    <r>
      <rPr>
        <sz val="14"/>
        <color indexed="22"/>
        <rFont val="仿宋"/>
        <family val="3"/>
        <charset val="134"/>
      </rPr>
      <t>低光强航空障碍灯</t>
    </r>
    <phoneticPr fontId="1" type="noConversion"/>
  </si>
  <si>
    <t>测试1</t>
    <phoneticPr fontId="1" type="noConversion"/>
  </si>
  <si>
    <t>测试2</t>
    <phoneticPr fontId="1" type="noConversion"/>
  </si>
  <si>
    <r>
      <rPr>
        <sz val="14"/>
        <color indexed="8"/>
        <rFont val="仿宋"/>
        <family val="3"/>
        <charset val="134"/>
      </rPr>
      <t>跑道末端灯</t>
    </r>
    <phoneticPr fontId="1" type="noConversion"/>
  </si>
  <si>
    <r>
      <rPr>
        <sz val="14"/>
        <color indexed="8"/>
        <rFont val="仿宋"/>
        <family val="3"/>
        <charset val="134"/>
      </rPr>
      <t>快速出口滑行道指示灯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</si>
  <si>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嵌入式滑行道边灯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</si>
  <si>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</si>
  <si>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跑道接地带灯</t>
    </r>
    <phoneticPr fontId="1" type="noConversion"/>
  </si>
  <si>
    <r>
      <rPr>
        <sz val="14"/>
        <color indexed="8"/>
        <rFont val="仿宋"/>
        <family val="3"/>
        <charset val="134"/>
      </rPr>
      <t>接地带灯</t>
    </r>
    <phoneticPr fontId="1" type="noConversion"/>
  </si>
  <si>
    <r>
      <rPr>
        <sz val="14"/>
        <color indexed="8"/>
        <rFont val="仿宋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仿宋"/>
        <family val="3"/>
        <charset val="134"/>
      </rPr>
      <t>型低光强）</t>
    </r>
    <phoneticPr fontId="1" type="noConversion"/>
  </si>
  <si>
    <r>
      <t>B</t>
    </r>
    <r>
      <rPr>
        <sz val="14"/>
        <color indexed="8"/>
        <rFont val="仿宋"/>
        <family val="3"/>
        <charset val="134"/>
      </rPr>
      <t>型低光强跑道警戒灯</t>
    </r>
    <phoneticPr fontId="1" type="noConversion"/>
  </si>
  <si>
    <r>
      <rPr>
        <sz val="14"/>
        <color indexed="8"/>
        <rFont val="仿宋"/>
        <family val="3"/>
        <charset val="134"/>
      </rPr>
      <t>标准停止排灯（卤素灯）</t>
    </r>
    <phoneticPr fontId="1" type="noConversion"/>
  </si>
  <si>
    <r>
      <rPr>
        <sz val="14"/>
        <color indexed="8"/>
        <rFont val="仿宋"/>
        <family val="3"/>
        <charset val="134"/>
      </rPr>
      <t>标准停止排灯（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</si>
  <si>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滑行道中线灯（卤素灯和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标准弯道段）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</si>
  <si>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滑行道中线灯（弯道段）</t>
    </r>
    <phoneticPr fontId="1" type="noConversion"/>
  </si>
  <si>
    <r>
      <rPr>
        <sz val="14"/>
        <color indexed="8"/>
        <rFont val="仿宋"/>
        <family val="3"/>
        <charset val="134"/>
      </rPr>
      <t>中间等待位置灯（</t>
    </r>
    <r>
      <rPr>
        <sz val="14"/>
        <color indexed="8"/>
        <rFont val="Times New Roman"/>
        <family val="1"/>
      </rPr>
      <t>LED 8</t>
    </r>
    <r>
      <rPr>
        <sz val="14"/>
        <color indexed="8"/>
        <rFont val="仿宋"/>
        <family val="3"/>
        <charset val="134"/>
      </rPr>
      <t>英寸</t>
    </r>
    <r>
      <rPr>
        <sz val="14"/>
        <color indexed="8"/>
        <rFont val="Times New Roman"/>
        <family val="1"/>
      </rPr>
      <t xml:space="preserve"> 12mm ICAO)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</si>
  <si>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滑行道中线灯（卤素灯和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标准直线段）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</si>
  <si>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</si>
  <si>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rPr>
        <sz val="14"/>
        <color indexed="8"/>
        <rFont val="仿宋"/>
        <family val="3"/>
        <charset val="134"/>
      </rPr>
      <t>中间等待位置灯（卤素灯</t>
    </r>
    <r>
      <rPr>
        <sz val="14"/>
        <color indexed="8"/>
        <rFont val="Times New Roman"/>
        <family val="1"/>
      </rPr>
      <t xml:space="preserve"> </t>
    </r>
    <r>
      <rPr>
        <sz val="14"/>
        <color indexed="8"/>
        <rFont val="仿宋"/>
        <family val="3"/>
        <charset val="134"/>
      </rPr>
      <t>标准直线段）</t>
    </r>
    <phoneticPr fontId="1" type="noConversion"/>
  </si>
  <si>
    <r>
      <rPr>
        <sz val="14"/>
        <color indexed="8"/>
        <rFont val="仿宋"/>
        <family val="3"/>
        <charset val="134"/>
      </rPr>
      <t>滑行道边灯（嵌入式卤素灯型）</t>
    </r>
    <phoneticPr fontId="1" type="noConversion"/>
  </si>
  <si>
    <r>
      <rPr>
        <sz val="14"/>
        <color indexed="8"/>
        <rFont val="仿宋"/>
        <family val="3"/>
        <charset val="134"/>
      </rPr>
      <t>滑行道边灯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</si>
  <si>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</t>
    </r>
    <r>
      <rPr>
        <sz val="14"/>
        <color indexed="8"/>
        <rFont val="Times New Roman"/>
        <family val="1"/>
      </rPr>
      <t xml:space="preserve"> </t>
    </r>
    <r>
      <rPr>
        <sz val="14"/>
        <color indexed="8"/>
        <rFont val="仿宋"/>
        <family val="3"/>
        <charset val="134"/>
      </rPr>
      <t>加厚型直线段）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</si>
  <si>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</t>
    </r>
    <r>
      <rPr>
        <sz val="14"/>
        <color indexed="8"/>
        <rFont val="Times New Roman"/>
        <family val="1"/>
      </rPr>
      <t xml:space="preserve">+LED </t>
    </r>
    <r>
      <rPr>
        <sz val="14"/>
        <color indexed="8"/>
        <rFont val="仿宋"/>
        <family val="3"/>
        <charset val="134"/>
      </rPr>
      <t>加厚型直线段）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</si>
  <si>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</t>
    </r>
    <r>
      <rPr>
        <sz val="14"/>
        <color indexed="8"/>
        <rFont val="Times New Roman"/>
        <family val="1"/>
      </rPr>
      <t xml:space="preserve"> </t>
    </r>
    <r>
      <rPr>
        <sz val="14"/>
        <color indexed="8"/>
        <rFont val="仿宋"/>
        <family val="3"/>
        <charset val="134"/>
      </rPr>
      <t>加厚型弯道段）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</si>
  <si>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</t>
    </r>
    <r>
      <rPr>
        <sz val="14"/>
        <color indexed="8"/>
        <rFont val="Times New Roman"/>
        <family val="1"/>
      </rPr>
      <t xml:space="preserve">+LED </t>
    </r>
    <r>
      <rPr>
        <sz val="14"/>
        <color indexed="8"/>
        <rFont val="仿宋"/>
        <family val="3"/>
        <charset val="134"/>
      </rPr>
      <t>加厚型弯道段）</t>
    </r>
    <phoneticPr fontId="1" type="noConversion"/>
  </si>
  <si>
    <r>
      <rPr>
        <sz val="14"/>
        <color indexed="8"/>
        <rFont val="仿宋"/>
        <family val="3"/>
        <charset val="134"/>
      </rPr>
      <t>中间等待位置灯（非标</t>
    </r>
    <r>
      <rPr>
        <sz val="14"/>
        <color indexed="8"/>
        <rFont val="Times New Roman"/>
        <family val="1"/>
      </rPr>
      <t xml:space="preserve"> LED 8</t>
    </r>
    <r>
      <rPr>
        <sz val="14"/>
        <color indexed="8"/>
        <rFont val="仿宋"/>
        <family val="3"/>
        <charset val="134"/>
      </rPr>
      <t>英寸</t>
    </r>
    <r>
      <rPr>
        <sz val="14"/>
        <color indexed="8"/>
        <rFont val="Times New Roman"/>
        <family val="1"/>
      </rPr>
      <t xml:space="preserve"> 4</t>
    </r>
    <r>
      <rPr>
        <sz val="14"/>
        <color indexed="8"/>
        <rFont val="仿宋"/>
        <family val="3"/>
        <charset val="134"/>
      </rPr>
      <t>螺栓）</t>
    </r>
    <phoneticPr fontId="1" type="noConversion"/>
  </si>
  <si>
    <r>
      <rPr>
        <sz val="14"/>
        <color indexed="8"/>
        <rFont val="仿宋"/>
        <family val="3"/>
        <charset val="134"/>
      </rPr>
      <t>停止排灯（卤素灯</t>
    </r>
    <r>
      <rPr>
        <sz val="14"/>
        <color indexed="8"/>
        <rFont val="Times New Roman"/>
        <family val="1"/>
      </rPr>
      <t xml:space="preserve"> </t>
    </r>
    <r>
      <rPr>
        <sz val="14"/>
        <color indexed="8"/>
        <rFont val="仿宋"/>
        <family val="3"/>
        <charset val="134"/>
      </rPr>
      <t>非加厚型）</t>
    </r>
    <phoneticPr fontId="1" type="noConversion"/>
  </si>
  <si>
    <r>
      <rPr>
        <sz val="14"/>
        <color indexed="8"/>
        <rFont val="仿宋"/>
        <family val="3"/>
        <charset val="134"/>
      </rPr>
      <t>隔离变压器箱</t>
    </r>
    <phoneticPr fontId="1" type="noConversion"/>
  </si>
  <si>
    <r>
      <rPr>
        <sz val="14"/>
        <color indexed="8"/>
        <rFont val="仿宋"/>
        <family val="3"/>
        <charset val="134"/>
      </rPr>
      <t>停止排灯</t>
    </r>
    <phoneticPr fontId="1" type="noConversion"/>
  </si>
  <si>
    <r>
      <rPr>
        <sz val="14"/>
        <color indexed="8"/>
        <rFont val="仿宋"/>
        <family val="3"/>
        <charset val="134"/>
      </rPr>
      <t>滑行道引导标记牌</t>
    </r>
    <phoneticPr fontId="1" type="noConversion"/>
  </si>
  <si>
    <r>
      <rPr>
        <sz val="14"/>
        <color indexed="8"/>
        <rFont val="仿宋"/>
        <family val="3"/>
        <charset val="134"/>
      </rPr>
      <t>滑行道引导标记牌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</si>
  <si>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滑行道引导标记牌</t>
    </r>
    <phoneticPr fontId="1" type="noConversion"/>
  </si>
  <si>
    <r>
      <rPr>
        <sz val="14"/>
        <color indexed="8"/>
        <rFont val="仿宋"/>
        <family val="3"/>
        <charset val="134"/>
      </rPr>
      <t>滑行道灯边逆向反光标志棒</t>
    </r>
    <phoneticPr fontId="1" type="noConversion"/>
  </si>
  <si>
    <r>
      <rPr>
        <sz val="14"/>
        <color indexed="8"/>
        <rFont val="仿宋"/>
        <family val="3"/>
        <charset val="134"/>
      </rPr>
      <t>滑行道边逆向反光标志棒</t>
    </r>
    <phoneticPr fontId="1" type="noConversion"/>
  </si>
  <si>
    <r>
      <rPr>
        <sz val="14"/>
        <color indexed="8"/>
        <rFont val="仿宋"/>
        <family val="3"/>
        <charset val="134"/>
      </rPr>
      <t>隔离变压器（老式）</t>
    </r>
    <phoneticPr fontId="1" type="noConversion"/>
  </si>
  <si>
    <r>
      <rPr>
        <sz val="14"/>
        <color indexed="8"/>
        <rFont val="仿宋"/>
        <family val="3"/>
        <charset val="134"/>
      </rPr>
      <t>隔离变压器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</si>
  <si>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嵌入式跑道末端灯</t>
    </r>
    <phoneticPr fontId="1" type="noConversion"/>
  </si>
  <si>
    <r>
      <rPr>
        <sz val="14"/>
        <color indexed="8"/>
        <rFont val="仿宋"/>
        <family val="3"/>
        <charset val="134"/>
      </rPr>
      <t>跑道末端灯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</si>
  <si>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</si>
  <si>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仿宋"/>
        <family val="3"/>
        <charset val="134"/>
      </rPr>
      <t>快速出口滑行道指示灯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</si>
  <si>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嵌入式滑行道边灯</t>
    </r>
    <phoneticPr fontId="1" type="noConversion"/>
  </si>
  <si>
    <r>
      <t>TOEL-08-LED-B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</si>
  <si>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嵌入式停止排灯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</si>
  <si>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</si>
  <si>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</si>
  <si>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rPr>
        <sz val="14"/>
        <color indexed="8"/>
        <rFont val="仿宋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</si>
  <si>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</si>
  <si>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</si>
  <si>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</si>
  <si>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中间位置等待灯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</si>
  <si>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立式滑行道边灯</t>
    </r>
    <phoneticPr fontId="1" type="noConversion"/>
  </si>
  <si>
    <r>
      <t>EOL-TE-LED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</si>
  <si>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</si>
  <si>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</si>
  <si>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立式进近侧边灯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</si>
  <si>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风向标（内部照明）</t>
    </r>
    <phoneticPr fontId="1" type="noConversion"/>
  </si>
  <si>
    <r>
      <rPr>
        <sz val="14"/>
        <color indexed="8"/>
        <rFont val="仿宋"/>
        <family val="3"/>
        <charset val="134"/>
      </rPr>
      <t>风向标</t>
    </r>
    <phoneticPr fontId="1" type="noConversion"/>
  </si>
  <si>
    <r>
      <rPr>
        <sz val="14"/>
        <color indexed="8"/>
        <rFont val="仿宋"/>
        <family val="3"/>
        <charset val="134"/>
      </rPr>
      <t>立式跑道边灯</t>
    </r>
    <phoneticPr fontId="1" type="noConversion"/>
  </si>
  <si>
    <r>
      <rPr>
        <sz val="14"/>
        <color indexed="8"/>
        <rFont val="仿宋"/>
        <family val="3"/>
        <charset val="134"/>
      </rPr>
      <t>跑道边灯</t>
    </r>
    <phoneticPr fontId="1" type="noConversion"/>
  </si>
  <si>
    <r>
      <t>EBL-RE-II-150-RC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</si>
  <si>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rPr>
        <sz val="14"/>
        <color indexed="8"/>
        <rFont val="仿宋"/>
        <family val="3"/>
        <charset val="134"/>
      </rPr>
      <t>精密进近航道指示器</t>
    </r>
    <phoneticPr fontId="1" type="noConversion"/>
  </si>
  <si>
    <r>
      <rPr>
        <sz val="14"/>
        <color indexed="8"/>
        <rFont val="仿宋"/>
        <family val="3"/>
        <charset val="134"/>
      </rPr>
      <t>立式顺序闪光灯</t>
    </r>
    <phoneticPr fontId="1" type="noConversion"/>
  </si>
  <si>
    <r>
      <rPr>
        <sz val="14"/>
        <color indexed="8"/>
        <rFont val="仿宋"/>
        <family val="3"/>
        <charset val="134"/>
      </rPr>
      <t>顺序闪光灯系统</t>
    </r>
    <phoneticPr fontId="1" type="noConversion"/>
  </si>
  <si>
    <r>
      <rPr>
        <sz val="14"/>
        <color indexed="8"/>
        <rFont val="仿宋"/>
        <family val="3"/>
        <charset val="134"/>
      </rPr>
      <t>嵌入式顺序闪光灯</t>
    </r>
    <phoneticPr fontId="1" type="noConversion"/>
  </si>
  <si>
    <r>
      <rPr>
        <sz val="14"/>
        <color indexed="8"/>
        <rFont val="仿宋"/>
        <family val="3"/>
        <charset val="134"/>
      </rPr>
      <t>标记牌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</si>
  <si>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</si>
  <si>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</si>
  <si>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</si>
  <si>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</si>
  <si>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</si>
  <si>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</si>
  <si>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rPr>
        <u/>
        <sz val="14"/>
        <color indexed="8"/>
        <rFont val="仿宋"/>
        <family val="3"/>
        <charset val="134"/>
      </rPr>
      <t>立式进近中线灯</t>
    </r>
    <phoneticPr fontId="1" type="noConversion"/>
  </si>
  <si>
    <r>
      <rPr>
        <sz val="14"/>
        <color indexed="8"/>
        <rFont val="仿宋"/>
        <family val="3"/>
        <charset val="134"/>
      </rPr>
      <t>进近灯</t>
    </r>
    <phoneticPr fontId="1" type="noConversion"/>
  </si>
  <si>
    <r>
      <rPr>
        <sz val="14"/>
        <color indexed="8"/>
        <rFont val="仿宋"/>
        <family val="3"/>
        <charset val="134"/>
      </rPr>
      <t>立式进近侧边灯</t>
    </r>
    <phoneticPr fontId="1" type="noConversion"/>
  </si>
  <si>
    <r>
      <rPr>
        <sz val="14"/>
        <color indexed="8"/>
        <rFont val="仿宋"/>
        <family val="3"/>
        <charset val="134"/>
      </rPr>
      <t>进近侧边灯</t>
    </r>
    <phoneticPr fontId="1" type="noConversion"/>
  </si>
  <si>
    <r>
      <rPr>
        <sz val="14"/>
        <color indexed="8"/>
        <rFont val="仿宋"/>
        <family val="3"/>
        <charset val="134"/>
      </rPr>
      <t>立式跑道入口灯</t>
    </r>
    <phoneticPr fontId="1" type="noConversion"/>
  </si>
  <si>
    <r>
      <rPr>
        <sz val="14"/>
        <color indexed="8"/>
        <rFont val="仿宋"/>
        <family val="3"/>
        <charset val="134"/>
      </rPr>
      <t>跑道入口灯</t>
    </r>
    <phoneticPr fontId="1" type="noConversion"/>
  </si>
  <si>
    <r>
      <rPr>
        <sz val="14"/>
        <color indexed="8"/>
        <rFont val="仿宋"/>
        <family val="3"/>
        <charset val="134"/>
      </rPr>
      <t>立式跑道入口翼排灯</t>
    </r>
    <phoneticPr fontId="1" type="noConversion"/>
  </si>
  <si>
    <r>
      <rPr>
        <sz val="14"/>
        <color indexed="8"/>
        <rFont val="仿宋"/>
        <family val="3"/>
        <charset val="134"/>
      </rPr>
      <t>跑道入口翼排灯</t>
    </r>
    <phoneticPr fontId="1" type="noConversion"/>
  </si>
  <si>
    <r>
      <rPr>
        <sz val="14"/>
        <color indexed="8"/>
        <rFont val="仿宋"/>
        <family val="3"/>
        <charset val="134"/>
      </rPr>
      <t>立式跑道末端灯</t>
    </r>
    <phoneticPr fontId="1" type="noConversion"/>
  </si>
  <si>
    <r>
      <rPr>
        <sz val="14"/>
        <color indexed="8"/>
        <rFont val="仿宋"/>
        <family val="3"/>
        <charset val="134"/>
      </rPr>
      <t>嵌入式停止排灯</t>
    </r>
    <phoneticPr fontId="1" type="noConversion"/>
  </si>
  <si>
    <r>
      <rPr>
        <sz val="14"/>
        <color indexed="8"/>
        <rFont val="仿宋"/>
        <family val="3"/>
        <charset val="134"/>
      </rPr>
      <t>立式停止排灯</t>
    </r>
    <phoneticPr fontId="1" type="noConversion"/>
  </si>
  <si>
    <r>
      <rPr>
        <sz val="14"/>
        <color indexed="8"/>
        <rFont val="仿宋"/>
        <family val="3"/>
        <charset val="134"/>
      </rPr>
      <t>立式跑道警戒灯</t>
    </r>
    <phoneticPr fontId="1" type="noConversion"/>
  </si>
  <si>
    <r>
      <rPr>
        <sz val="14"/>
        <color indexed="8"/>
        <rFont val="仿宋"/>
        <family val="3"/>
        <charset val="134"/>
      </rPr>
      <t>跑道警戒灯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</si>
  <si>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嵌入式进近灯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</si>
  <si>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</si>
  <si>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嵌入式进近侧边灯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</si>
  <si>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寸嵌入式进近侧边灯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</si>
  <si>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</si>
  <si>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</si>
  <si>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嵌入式跑道入口灯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</si>
  <si>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寸嵌入式跑道入口灯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</si>
  <si>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嵌入式跑道入口翼排灯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</si>
  <si>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寸嵌入式跑道入口翼排灯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</si>
  <si>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寸嵌入式跑道灯末端灯</t>
    </r>
    <phoneticPr fontId="1" type="noConversion"/>
  </si>
  <si>
    <r>
      <rPr>
        <sz val="14"/>
        <color indexed="22"/>
        <rFont val="仿宋"/>
        <family val="3"/>
        <charset val="134"/>
      </rPr>
      <t>停止排灯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</si>
</sst>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b/>
      <sz val="16"/>
      <color theme="1"/>
      <name val="Times New Roman"/>
      <family val="1"/>
    </font>
    <font>
      <b/>
      <sz val="16"/>
      <color theme="1"/>
      <name val="仿宋"/>
      <family val="3"/>
      <charset val="134"/>
    </font>
    <font>
      <u/>
      <sz val="11"/>
      <color theme="10"/>
      <name val="等线"/>
      <family val="2"/>
      <scheme val="minor"/>
    </font>
    <font>
      <i/>
      <sz val="11"/>
      <color rgb="FF7F7F7F"/>
      <name val="等线"/>
      <family val="2"/>
      <charset val="134"/>
      <scheme val="minor"/>
    </font>
    <font>
      <sz val="14"/>
      <color indexed="22"/>
      <name val="仿宋"/>
      <family val="3"/>
      <charset val="134"/>
    </font>
    <font>
      <sz val="14"/>
      <color indexed="22"/>
      <name val="Times New Roman"/>
      <family val="1"/>
    </font>
    <font>
      <b/>
      <sz val="24"/>
      <color indexed="8"/>
      <name val="等线"/>
      <family val="3"/>
      <charset val="134"/>
      <scheme val="minor"/>
    </font>
    <font>
      <sz val="14"/>
      <color indexed="8"/>
      <name val="仿宋"/>
      <family val="3"/>
      <charset val="134"/>
    </font>
    <font>
      <b/>
      <sz val="16"/>
      <color indexed="8"/>
      <name val="仿宋"/>
      <family val="3"/>
      <charset val="134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u/>
      <sz val="14"/>
      <color indexed="8"/>
      <name val="Times New Roman"/>
      <family val="1"/>
    </font>
    <font>
      <u/>
      <sz val="14"/>
      <color indexed="8"/>
      <name val="仿宋"/>
      <family val="3"/>
      <charset val="134"/>
    </font>
    <font>
      <sz val="14"/>
      <color theme="0"/>
      <name val="仿宋"/>
      <family val="3"/>
      <charset val="134"/>
    </font>
    <font>
      <i/>
      <sz val="14"/>
      <color indexed="22"/>
      <name val="仿宋"/>
      <family val="3"/>
      <charset val="134"/>
    </font>
    <font>
      <sz val="14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72">
    <xf numFmtId="0" fontId="0" fillId="0" borderId="0" xfId="0"/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1" xfId="0" applyFont="1" applyFill="1" applyBorder="1" applyProtection="1"/>
    <xf numFmtId="49" fontId="9" fillId="0" borderId="1" xfId="0" applyNumberFormat="1" applyFont="1" applyFill="1" applyBorder="1" applyProtection="1"/>
    <xf numFmtId="14" fontId="9" fillId="0" borderId="1" xfId="0" applyNumberFormat="1" applyFont="1" applyFill="1" applyBorder="1" applyAlignment="1" applyProtection="1">
      <alignment horizontal="left" vertical="center"/>
    </xf>
    <xf numFmtId="0" fontId="8" fillId="0" borderId="6" xfId="0" applyFont="1" applyFill="1" applyBorder="1" applyAlignment="1">
      <alignment horizontal="center" vertical="center"/>
    </xf>
    <xf numFmtId="0" fontId="9" fillId="0" borderId="5" xfId="0" applyFont="1" applyFill="1" applyBorder="1" applyProtection="1"/>
    <xf numFmtId="0" fontId="11" fillId="0" borderId="0" xfId="0" applyFont="1" applyFill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4" fillId="0" borderId="5" xfId="0" applyFont="1" applyFill="1" applyBorder="1"/>
    <xf numFmtId="0" fontId="14" fillId="0" borderId="1" xfId="0" applyFont="1" applyFill="1" applyBorder="1"/>
    <xf numFmtId="49" fontId="14" fillId="0" borderId="1" xfId="0" applyNumberFormat="1" applyFont="1" applyFill="1" applyBorder="1"/>
    <xf numFmtId="14" fontId="14" fillId="0" borderId="1" xfId="0" applyNumberFormat="1" applyFont="1" applyFill="1" applyBorder="1" applyAlignment="1">
      <alignment horizontal="left" vertical="center"/>
    </xf>
    <xf numFmtId="0" fontId="11" fillId="0" borderId="1" xfId="0" applyFont="1" applyFill="1" applyBorder="1"/>
    <xf numFmtId="0" fontId="15" fillId="0" borderId="5" xfId="1" applyFont="1" applyFill="1" applyBorder="1"/>
    <xf numFmtId="0" fontId="14" fillId="0" borderId="10" xfId="0" applyFont="1" applyFill="1" applyBorder="1"/>
    <xf numFmtId="0" fontId="14" fillId="0" borderId="11" xfId="0" applyFont="1" applyFill="1" applyBorder="1"/>
    <xf numFmtId="49" fontId="14" fillId="0" borderId="11" xfId="0" applyNumberFormat="1" applyFont="1" applyFill="1" applyBorder="1"/>
    <xf numFmtId="14" fontId="14" fillId="0" borderId="11" xfId="0" applyNumberFormat="1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8" fillId="0" borderId="14" xfId="0" applyFont="1" applyFill="1" applyBorder="1" applyProtection="1"/>
    <xf numFmtId="0" fontId="9" fillId="0" borderId="15" xfId="0" applyFont="1" applyFill="1" applyBorder="1" applyProtection="1"/>
    <xf numFmtId="49" fontId="9" fillId="0" borderId="15" xfId="0" applyNumberFormat="1" applyFont="1" applyFill="1" applyBorder="1" applyProtection="1"/>
    <xf numFmtId="14" fontId="9" fillId="0" borderId="15" xfId="0" applyNumberFormat="1" applyFont="1" applyFill="1" applyBorder="1" applyAlignment="1" applyProtection="1">
      <alignment horizontal="left" vertical="center"/>
    </xf>
    <xf numFmtId="0" fontId="8" fillId="0" borderId="17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3" fillId="0" borderId="0" xfId="0" applyFont="1" applyBorder="1"/>
    <xf numFmtId="0" fontId="17" fillId="0" borderId="0" xfId="0" applyFont="1"/>
    <xf numFmtId="0" fontId="17" fillId="0" borderId="0" xfId="0" applyFont="1" applyBorder="1"/>
    <xf numFmtId="0" fontId="18" fillId="0" borderId="8" xfId="2" applyFont="1" applyFill="1" applyBorder="1" applyAlignment="1"/>
    <xf numFmtId="0" fontId="18" fillId="0" borderId="7" xfId="2" applyFont="1" applyFill="1" applyBorder="1" applyAlignment="1"/>
    <xf numFmtId="0" fontId="18" fillId="0" borderId="9" xfId="2" applyFont="1" applyFill="1" applyBorder="1" applyAlignment="1"/>
    <xf numFmtId="0" fontId="11" fillId="0" borderId="19" xfId="0" applyFont="1" applyFill="1" applyBorder="1" applyAlignment="1">
      <alignment horizontal="center" vertical="center"/>
    </xf>
    <xf numFmtId="0" fontId="14" fillId="3" borderId="12" xfId="0" applyFont="1" applyFill="1" applyBorder="1" applyAlignment="1">
      <alignment horizontal="center" vertical="center"/>
    </xf>
    <xf numFmtId="0" fontId="19" fillId="0" borderId="5" xfId="0" applyFont="1" applyFill="1" applyBorder="1"/>
    <xf numFmtId="0" fontId="9" fillId="3" borderId="16" xfId="0" applyFont="1" applyFill="1" applyBorder="1" applyAlignment="1" applyProtection="1">
      <alignment horizontal="center" vertical="center"/>
    </xf>
    <xf numFmtId="0" fontId="9" fillId="3" borderId="12" xfId="0" applyFont="1" applyFill="1" applyBorder="1" applyAlignment="1" applyProtection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12" fillId="0" borderId="19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0" fontId="12" fillId="0" borderId="13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49" fontId="12" fillId="0" borderId="3" xfId="0" applyNumberFormat="1" applyFont="1" applyFill="1" applyBorder="1" applyAlignment="1">
      <alignment horizontal="center" vertical="center"/>
    </xf>
    <xf numFmtId="49" fontId="13" fillId="0" borderId="11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</cellXfs>
  <cellStyles count="3">
    <cellStyle name="常规" xfId="0" builtinId="0"/>
    <cellStyle name="超链接" xfId="1" builtinId="8"/>
    <cellStyle name="解释性文本" xfId="2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92.168.144.11\data\005%20&#28783;&#20855;&#26816;&#27979;&#25253;&#21578;&#21450;&#35777;&#20070;\002%20&#28783;&#20855;&#21508;&#31867;&#35777;&#20070;\001%20CAAC%20&#35777;&#20070;\1.1.1%20&#31435;&#24335;&#36827;&#36817;&#20013;&#32447;&#28783;%20EUL-AP%202018080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113"/>
  <sheetViews>
    <sheetView tabSelected="1" zoomScale="85" zoomScaleNormal="85" workbookViewId="0">
      <pane ySplit="3" topLeftCell="A4" activePane="bottomLeft" state="frozenSplit"/>
      <selection pane="bottomLeft" activeCell="J5" sqref="J5"/>
    </sheetView>
  </sheetViews>
  <sheetFormatPr defaultRowHeight="18.75" x14ac:dyDescent="0.25"/>
  <cols>
    <col min="1" max="1" width="2.625" customWidth="1"/>
    <col min="2" max="2" width="58.75" bestFit="1" customWidth="1"/>
    <col min="3" max="3" width="33.375" bestFit="1" customWidth="1"/>
    <col min="4" max="4" width="38.625" bestFit="1" customWidth="1"/>
    <col min="5" max="5" width="19.125" style="5" bestFit="1" customWidth="1"/>
    <col min="6" max="6" width="19.125" style="9" bestFit="1" customWidth="1"/>
    <col min="7" max="8" width="14.625" style="9" bestFit="1" customWidth="1"/>
    <col min="9" max="9" width="19.125" style="28" bestFit="1" customWidth="1"/>
    <col min="10" max="10" width="23.625" style="8" customWidth="1"/>
    <col min="11" max="11" width="20.625" style="7" customWidth="1"/>
    <col min="13" max="13" width="18.125" style="6" customWidth="1"/>
  </cols>
  <sheetData>
    <row r="1" spans="2:13" ht="36" customHeight="1" thickBot="1" x14ac:dyDescent="0.45">
      <c r="B1" s="52" t="s">
        <v>195</v>
      </c>
      <c r="C1" s="52"/>
      <c r="D1" s="52"/>
      <c r="E1" s="52"/>
      <c r="F1" s="52"/>
      <c r="G1" s="52"/>
      <c r="H1" s="52"/>
      <c r="I1" s="52"/>
      <c r="J1" s="52"/>
      <c r="K1" s="16"/>
    </row>
    <row r="2" spans="2:13" ht="20.25" x14ac:dyDescent="0.25">
      <c r="B2" s="53" t="s">
        <v>201</v>
      </c>
      <c r="C2" s="59" t="s">
        <v>202</v>
      </c>
      <c r="D2" s="59" t="s">
        <v>203</v>
      </c>
      <c r="E2" s="62" t="s">
        <v>204</v>
      </c>
      <c r="F2" s="55" t="s">
        <v>205</v>
      </c>
      <c r="G2" s="59" t="s">
        <v>208</v>
      </c>
      <c r="H2" s="61"/>
      <c r="I2" s="55" t="s">
        <v>209</v>
      </c>
      <c r="J2" s="57" t="s">
        <v>215</v>
      </c>
      <c r="K2" s="50" t="s">
        <v>210</v>
      </c>
      <c r="L2" s="38" t="s">
        <v>212</v>
      </c>
      <c r="M2" s="10"/>
    </row>
    <row r="3" spans="2:13" s="36" customFormat="1" ht="20.25" x14ac:dyDescent="0.25">
      <c r="B3" s="54"/>
      <c r="C3" s="60"/>
      <c r="D3" s="60"/>
      <c r="E3" s="63"/>
      <c r="F3" s="56"/>
      <c r="G3" s="34" t="s">
        <v>206</v>
      </c>
      <c r="H3" s="34" t="s">
        <v>207</v>
      </c>
      <c r="I3" s="56"/>
      <c r="J3" s="58"/>
      <c r="K3" s="51"/>
      <c r="L3" s="39" t="s">
        <v>214</v>
      </c>
      <c r="M3" s="35"/>
    </row>
    <row r="4" spans="2:13" s="36" customFormat="1" ht="19.5" x14ac:dyDescent="0.3">
      <c r="B4" s="29" t="s">
        <v>221</v>
      </c>
      <c r="C4" s="30" t="s">
        <v>323</v>
      </c>
      <c r="D4" s="30" t="s">
        <v>150</v>
      </c>
      <c r="E4" s="31">
        <v>8404838</v>
      </c>
      <c r="F4" s="32">
        <v>40553</v>
      </c>
      <c r="G4" s="32">
        <v>40553</v>
      </c>
      <c r="H4" s="32">
        <v>42453</v>
      </c>
      <c r="I4" s="32">
        <f t="shared" ref="I4" ca="1" si="0">TODAY()</f>
        <v>42874</v>
      </c>
      <c r="J4" s="46">
        <f t="shared" ref="J4" ca="1" si="1">INT((H4-I4)/30)</f>
        <v>-15</v>
      </c>
      <c r="K4" s="33" t="s">
        <v>219</v>
      </c>
      <c r="M4" s="37"/>
    </row>
    <row r="5" spans="2:13" ht="19.5" x14ac:dyDescent="0.3">
      <c r="B5" s="18" t="s">
        <v>257</v>
      </c>
      <c r="C5" s="19" t="s">
        <v>258</v>
      </c>
      <c r="D5" s="19" t="s">
        <v>177</v>
      </c>
      <c r="E5" s="20">
        <v>8404906</v>
      </c>
      <c r="F5" s="21">
        <v>40553</v>
      </c>
      <c r="G5" s="21">
        <v>40553</v>
      </c>
      <c r="H5" s="21">
        <v>42575</v>
      </c>
      <c r="I5" s="21">
        <f ca="1">TODAY()</f>
        <v>42874</v>
      </c>
      <c r="J5" s="44">
        <f ca="1">INT((H5-I5)/30)</f>
        <v>-10</v>
      </c>
      <c r="K5" s="17" t="s">
        <v>211</v>
      </c>
    </row>
    <row r="6" spans="2:13" ht="19.5" x14ac:dyDescent="0.3">
      <c r="B6" s="18" t="s">
        <v>259</v>
      </c>
      <c r="C6" s="22" t="s">
        <v>216</v>
      </c>
      <c r="D6" s="19" t="s">
        <v>177</v>
      </c>
      <c r="E6" s="20">
        <v>8404906</v>
      </c>
      <c r="F6" s="21">
        <v>40553</v>
      </c>
      <c r="G6" s="21">
        <v>40553</v>
      </c>
      <c r="H6" s="21">
        <v>42575</v>
      </c>
      <c r="I6" s="21">
        <f ca="1">TODAY()</f>
        <v>42874</v>
      </c>
      <c r="J6" s="44">
        <f ca="1">INT((H6-I6)/30)</f>
        <v>-10</v>
      </c>
      <c r="K6" s="17" t="s">
        <v>211</v>
      </c>
    </row>
    <row r="7" spans="2:13" ht="19.5" x14ac:dyDescent="0.3">
      <c r="B7" s="18" t="s">
        <v>260</v>
      </c>
      <c r="C7" s="19" t="s">
        <v>261</v>
      </c>
      <c r="D7" s="19" t="s">
        <v>145</v>
      </c>
      <c r="E7" s="20">
        <v>8404933</v>
      </c>
      <c r="F7" s="21">
        <v>40553</v>
      </c>
      <c r="G7" s="21">
        <v>40553</v>
      </c>
      <c r="H7" s="21">
        <v>42684</v>
      </c>
      <c r="I7" s="21">
        <f ca="1">TODAY()</f>
        <v>42874</v>
      </c>
      <c r="J7" s="44">
        <f ca="1">INT((H7-I7)/30)</f>
        <v>-7</v>
      </c>
      <c r="K7" s="17" t="s">
        <v>211</v>
      </c>
    </row>
    <row r="8" spans="2:13" ht="19.5" x14ac:dyDescent="0.3">
      <c r="B8" s="18" t="s">
        <v>262</v>
      </c>
      <c r="C8" s="19" t="s">
        <v>263</v>
      </c>
      <c r="D8" s="19" t="s">
        <v>166</v>
      </c>
      <c r="E8" s="20">
        <v>8404934</v>
      </c>
      <c r="F8" s="21">
        <v>40553</v>
      </c>
      <c r="G8" s="21">
        <v>40553</v>
      </c>
      <c r="H8" s="21">
        <v>42684</v>
      </c>
      <c r="I8" s="21">
        <f ca="1">TODAY()</f>
        <v>42874</v>
      </c>
      <c r="J8" s="44">
        <f ca="1">INT((H8-I8)/30)</f>
        <v>-7</v>
      </c>
      <c r="K8" s="17" t="s">
        <v>211</v>
      </c>
    </row>
    <row r="9" spans="2:13" ht="19.5" x14ac:dyDescent="0.3">
      <c r="B9" s="18" t="s">
        <v>264</v>
      </c>
      <c r="C9" s="19" t="s">
        <v>265</v>
      </c>
      <c r="D9" s="19" t="s">
        <v>72</v>
      </c>
      <c r="E9" s="20" t="s">
        <v>73</v>
      </c>
      <c r="F9" s="21">
        <v>42706</v>
      </c>
      <c r="G9" s="21">
        <v>42681</v>
      </c>
      <c r="H9" s="21">
        <v>42680</v>
      </c>
      <c r="I9" s="21">
        <f ca="1">TODAY()</f>
        <v>42874</v>
      </c>
      <c r="J9" s="44">
        <f ca="1">INT((H9-I9)/30)</f>
        <v>-7</v>
      </c>
      <c r="K9" s="17" t="s">
        <v>211</v>
      </c>
    </row>
    <row r="10" spans="2:13" ht="19.5" x14ac:dyDescent="0.3">
      <c r="B10" s="18" t="s">
        <v>266</v>
      </c>
      <c r="C10" s="19" t="s">
        <v>267</v>
      </c>
      <c r="D10" s="19" t="s">
        <v>76</v>
      </c>
      <c r="E10" s="20" t="s">
        <v>77</v>
      </c>
      <c r="F10" s="21">
        <v>42706</v>
      </c>
      <c r="G10" s="21">
        <v>42681</v>
      </c>
      <c r="H10" s="21">
        <v>42680</v>
      </c>
      <c r="I10" s="21">
        <f ca="1">TODAY()</f>
        <v>42874</v>
      </c>
      <c r="J10" s="44">
        <f ca="1">INT((H10-I10)/30)</f>
        <v>-7</v>
      </c>
      <c r="K10" s="17" t="s">
        <v>211</v>
      </c>
    </row>
    <row r="11" spans="2:13" ht="19.5" x14ac:dyDescent="0.3">
      <c r="B11" s="15" t="s">
        <v>227</v>
      </c>
      <c r="C11" s="11" t="s">
        <v>228</v>
      </c>
      <c r="D11" s="11" t="s">
        <v>220</v>
      </c>
      <c r="E11" s="12" t="s">
        <v>189</v>
      </c>
      <c r="F11" s="13">
        <v>40553</v>
      </c>
      <c r="G11" s="13">
        <v>40553</v>
      </c>
      <c r="H11" s="13">
        <v>42842</v>
      </c>
      <c r="I11" s="13">
        <f ca="1">TODAY()</f>
        <v>42874</v>
      </c>
      <c r="J11" s="47">
        <f ca="1">INT((H11-I11)/30)</f>
        <v>-2</v>
      </c>
      <c r="K11" s="14" t="s">
        <v>213</v>
      </c>
    </row>
    <row r="12" spans="2:13" ht="19.5" x14ac:dyDescent="0.3">
      <c r="B12" s="18" t="s">
        <v>263</v>
      </c>
      <c r="C12" s="19" t="s">
        <v>263</v>
      </c>
      <c r="D12" s="19" t="s">
        <v>167</v>
      </c>
      <c r="E12" s="20" t="s">
        <v>168</v>
      </c>
      <c r="F12" s="21">
        <v>42382</v>
      </c>
      <c r="G12" s="21">
        <v>42200</v>
      </c>
      <c r="H12" s="21">
        <v>42930</v>
      </c>
      <c r="I12" s="21">
        <f ca="1">TODAY()</f>
        <v>42874</v>
      </c>
      <c r="J12" s="49">
        <f ca="1">INT((H12-I12)/30)</f>
        <v>1</v>
      </c>
      <c r="K12" s="17" t="s">
        <v>211</v>
      </c>
    </row>
    <row r="13" spans="2:13" ht="19.5" x14ac:dyDescent="0.3">
      <c r="B13" s="18" t="s">
        <v>263</v>
      </c>
      <c r="C13" s="19" t="s">
        <v>263</v>
      </c>
      <c r="D13" s="19" t="s">
        <v>169</v>
      </c>
      <c r="E13" s="20" t="s">
        <v>170</v>
      </c>
      <c r="F13" s="21">
        <v>42382</v>
      </c>
      <c r="G13" s="21">
        <v>42200</v>
      </c>
      <c r="H13" s="21">
        <v>42930</v>
      </c>
      <c r="I13" s="21">
        <f ca="1">TODAY()</f>
        <v>42874</v>
      </c>
      <c r="J13" s="49">
        <f ca="1">INT((H13-I13)/30)</f>
        <v>1</v>
      </c>
      <c r="K13" s="17" t="s">
        <v>211</v>
      </c>
    </row>
    <row r="14" spans="2:13" ht="19.5" x14ac:dyDescent="0.3">
      <c r="B14" s="18" t="s">
        <v>263</v>
      </c>
      <c r="C14" s="19" t="s">
        <v>263</v>
      </c>
      <c r="D14" s="19" t="s">
        <v>171</v>
      </c>
      <c r="E14" s="20" t="s">
        <v>172</v>
      </c>
      <c r="F14" s="21">
        <v>42382</v>
      </c>
      <c r="G14" s="21">
        <v>42200</v>
      </c>
      <c r="H14" s="21">
        <v>42930</v>
      </c>
      <c r="I14" s="21">
        <f ca="1">TODAY()</f>
        <v>42874</v>
      </c>
      <c r="J14" s="49">
        <f ca="1">INT((H14-I14)/30)</f>
        <v>1</v>
      </c>
      <c r="K14" s="17" t="s">
        <v>211</v>
      </c>
    </row>
    <row r="15" spans="2:13" ht="19.5" x14ac:dyDescent="0.3">
      <c r="B15" s="18" t="s">
        <v>263</v>
      </c>
      <c r="C15" s="19" t="s">
        <v>263</v>
      </c>
      <c r="D15" s="19" t="s">
        <v>173</v>
      </c>
      <c r="E15" s="20" t="s">
        <v>174</v>
      </c>
      <c r="F15" s="21">
        <v>42382</v>
      </c>
      <c r="G15" s="21">
        <v>42200</v>
      </c>
      <c r="H15" s="21">
        <v>42930</v>
      </c>
      <c r="I15" s="21">
        <f ca="1">TODAY()</f>
        <v>42874</v>
      </c>
      <c r="J15" s="49">
        <f ca="1">INT((H15-I15)/30)</f>
        <v>1</v>
      </c>
      <c r="K15" s="17" t="s">
        <v>211</v>
      </c>
    </row>
    <row r="16" spans="2:13" ht="19.5" x14ac:dyDescent="0.3">
      <c r="B16" s="18" t="s">
        <v>263</v>
      </c>
      <c r="C16" s="19" t="s">
        <v>263</v>
      </c>
      <c r="D16" s="19" t="s">
        <v>175</v>
      </c>
      <c r="E16" s="20" t="s">
        <v>176</v>
      </c>
      <c r="F16" s="21">
        <v>42382</v>
      </c>
      <c r="G16" s="21">
        <v>42200</v>
      </c>
      <c r="H16" s="21">
        <v>42930</v>
      </c>
      <c r="I16" s="21">
        <f ca="1">TODAY()</f>
        <v>42874</v>
      </c>
      <c r="J16" s="49">
        <f ca="1">INT((H16-I16)/30)</f>
        <v>1</v>
      </c>
      <c r="K16" s="17" t="s">
        <v>211</v>
      </c>
    </row>
    <row r="17" spans="2:11" ht="19.5" x14ac:dyDescent="0.3">
      <c r="B17" s="18" t="s">
        <v>268</v>
      </c>
      <c r="C17" s="19" t="s">
        <v>268</v>
      </c>
      <c r="D17" s="19" t="s">
        <v>269</v>
      </c>
      <c r="E17" s="20" t="s">
        <v>142</v>
      </c>
      <c r="F17" s="21">
        <v>42269</v>
      </c>
      <c r="G17" s="21">
        <v>42206</v>
      </c>
      <c r="H17" s="21">
        <v>42937</v>
      </c>
      <c r="I17" s="21">
        <f ca="1">TODAY()</f>
        <v>42874</v>
      </c>
      <c r="J17" s="49">
        <f ca="1">INT((H17-I17)/30)</f>
        <v>2</v>
      </c>
      <c r="K17" s="17" t="s">
        <v>211</v>
      </c>
    </row>
    <row r="18" spans="2:11" ht="19.5" x14ac:dyDescent="0.3">
      <c r="B18" s="18" t="s">
        <v>270</v>
      </c>
      <c r="C18" s="19" t="s">
        <v>270</v>
      </c>
      <c r="D18" s="19" t="s">
        <v>151</v>
      </c>
      <c r="E18" s="20" t="s">
        <v>152</v>
      </c>
      <c r="F18" s="21">
        <v>42269</v>
      </c>
      <c r="G18" s="21">
        <v>42206</v>
      </c>
      <c r="H18" s="21">
        <v>42937</v>
      </c>
      <c r="I18" s="21">
        <f ca="1">TODAY()</f>
        <v>42874</v>
      </c>
      <c r="J18" s="49">
        <f ca="1">INT((H18-I18)/30)</f>
        <v>2</v>
      </c>
      <c r="K18" s="17" t="s">
        <v>211</v>
      </c>
    </row>
    <row r="19" spans="2:11" ht="19.5" x14ac:dyDescent="0.3">
      <c r="B19" s="18" t="s">
        <v>271</v>
      </c>
      <c r="C19" s="19" t="s">
        <v>271</v>
      </c>
      <c r="D19" s="19" t="s">
        <v>110</v>
      </c>
      <c r="E19" s="20" t="s">
        <v>111</v>
      </c>
      <c r="F19" s="21">
        <v>42269</v>
      </c>
      <c r="G19" s="21">
        <v>42206</v>
      </c>
      <c r="H19" s="21">
        <v>42937</v>
      </c>
      <c r="I19" s="21">
        <f ca="1">TODAY()</f>
        <v>42874</v>
      </c>
      <c r="J19" s="49">
        <f ca="1">INT((H19-I19)/30)</f>
        <v>2</v>
      </c>
      <c r="K19" s="17" t="s">
        <v>211</v>
      </c>
    </row>
    <row r="20" spans="2:11" ht="19.5" x14ac:dyDescent="0.3">
      <c r="B20" s="18" t="s">
        <v>271</v>
      </c>
      <c r="C20" s="19" t="s">
        <v>271</v>
      </c>
      <c r="D20" s="19" t="s">
        <v>112</v>
      </c>
      <c r="E20" s="20" t="s">
        <v>113</v>
      </c>
      <c r="F20" s="21">
        <v>42269</v>
      </c>
      <c r="G20" s="21">
        <v>42206</v>
      </c>
      <c r="H20" s="21">
        <v>42937</v>
      </c>
      <c r="I20" s="21">
        <f ca="1">TODAY()</f>
        <v>42874</v>
      </c>
      <c r="J20" s="49">
        <f ca="1">INT((H20-I20)/30)</f>
        <v>2</v>
      </c>
      <c r="K20" s="17" t="s">
        <v>211</v>
      </c>
    </row>
    <row r="21" spans="2:11" ht="19.5" x14ac:dyDescent="0.3">
      <c r="B21" s="18" t="s">
        <v>271</v>
      </c>
      <c r="C21" s="19" t="s">
        <v>271</v>
      </c>
      <c r="D21" s="19" t="s">
        <v>116</v>
      </c>
      <c r="E21" s="20" t="s">
        <v>117</v>
      </c>
      <c r="F21" s="21">
        <v>42269</v>
      </c>
      <c r="G21" s="21">
        <v>42206</v>
      </c>
      <c r="H21" s="21">
        <v>42937</v>
      </c>
      <c r="I21" s="21">
        <f ca="1">TODAY()</f>
        <v>42874</v>
      </c>
      <c r="J21" s="49">
        <f ca="1">INT((H21-I21)/30)</f>
        <v>2</v>
      </c>
      <c r="K21" s="17" t="s">
        <v>211</v>
      </c>
    </row>
    <row r="22" spans="2:11" ht="19.5" x14ac:dyDescent="0.3">
      <c r="B22" s="18" t="s">
        <v>271</v>
      </c>
      <c r="C22" s="19" t="s">
        <v>271</v>
      </c>
      <c r="D22" s="19" t="s">
        <v>114</v>
      </c>
      <c r="E22" s="20" t="s">
        <v>115</v>
      </c>
      <c r="F22" s="21">
        <v>42269</v>
      </c>
      <c r="G22" s="21">
        <v>42206</v>
      </c>
      <c r="H22" s="21">
        <v>42937</v>
      </c>
      <c r="I22" s="21">
        <f ca="1">TODAY()</f>
        <v>42874</v>
      </c>
      <c r="J22" s="49">
        <f ca="1">INT((H22-I22)/30)</f>
        <v>2</v>
      </c>
      <c r="K22" s="17" t="s">
        <v>211</v>
      </c>
    </row>
    <row r="23" spans="2:11" ht="19.5" x14ac:dyDescent="0.3">
      <c r="B23" s="18" t="s">
        <v>271</v>
      </c>
      <c r="C23" s="19" t="s">
        <v>271</v>
      </c>
      <c r="D23" s="19" t="s">
        <v>109</v>
      </c>
      <c r="E23" s="20" t="s">
        <v>84</v>
      </c>
      <c r="F23" s="21">
        <v>42269</v>
      </c>
      <c r="G23" s="21">
        <v>42206</v>
      </c>
      <c r="H23" s="21">
        <v>42937</v>
      </c>
      <c r="I23" s="21">
        <f ca="1">TODAY()</f>
        <v>42874</v>
      </c>
      <c r="J23" s="49">
        <f ca="1">INT((H23-I23)/30)</f>
        <v>2</v>
      </c>
      <c r="K23" s="17" t="s">
        <v>211</v>
      </c>
    </row>
    <row r="24" spans="2:11" ht="19.5" x14ac:dyDescent="0.3">
      <c r="B24" s="18" t="s">
        <v>271</v>
      </c>
      <c r="C24" s="19" t="s">
        <v>271</v>
      </c>
      <c r="D24" s="19" t="s">
        <v>118</v>
      </c>
      <c r="E24" s="20" t="s">
        <v>119</v>
      </c>
      <c r="F24" s="21">
        <v>42269</v>
      </c>
      <c r="G24" s="21">
        <v>42206</v>
      </c>
      <c r="H24" s="21">
        <v>42937</v>
      </c>
      <c r="I24" s="21">
        <f ca="1">TODAY()</f>
        <v>42874</v>
      </c>
      <c r="J24" s="49">
        <f ca="1">INT((H24-I24)/30)</f>
        <v>2</v>
      </c>
      <c r="K24" s="17" t="s">
        <v>217</v>
      </c>
    </row>
    <row r="25" spans="2:11" ht="19.5" x14ac:dyDescent="0.3">
      <c r="B25" s="18" t="s">
        <v>271</v>
      </c>
      <c r="C25" s="19" t="s">
        <v>271</v>
      </c>
      <c r="D25" s="19" t="s">
        <v>120</v>
      </c>
      <c r="E25" s="20" t="s">
        <v>121</v>
      </c>
      <c r="F25" s="21">
        <v>42269</v>
      </c>
      <c r="G25" s="21">
        <v>42206</v>
      </c>
      <c r="H25" s="21">
        <v>42937</v>
      </c>
      <c r="I25" s="21">
        <f ca="1">TODAY()</f>
        <v>42874</v>
      </c>
      <c r="J25" s="49">
        <f ca="1">INT((H25-I25)/30)</f>
        <v>2</v>
      </c>
      <c r="K25" s="17" t="s">
        <v>213</v>
      </c>
    </row>
    <row r="26" spans="2:11" ht="19.5" x14ac:dyDescent="0.3">
      <c r="B26" s="18" t="s">
        <v>271</v>
      </c>
      <c r="C26" s="19" t="s">
        <v>271</v>
      </c>
      <c r="D26" s="19" t="s">
        <v>122</v>
      </c>
      <c r="E26" s="20" t="s">
        <v>123</v>
      </c>
      <c r="F26" s="21">
        <v>42269</v>
      </c>
      <c r="G26" s="21">
        <v>42206</v>
      </c>
      <c r="H26" s="21">
        <v>42937</v>
      </c>
      <c r="I26" s="21">
        <f ca="1">TODAY()</f>
        <v>42874</v>
      </c>
      <c r="J26" s="49">
        <f ca="1">INT((H26-I26)/30)</f>
        <v>2</v>
      </c>
      <c r="K26" s="17" t="s">
        <v>211</v>
      </c>
    </row>
    <row r="27" spans="2:11" ht="19.5" x14ac:dyDescent="0.3">
      <c r="B27" s="18" t="s">
        <v>271</v>
      </c>
      <c r="C27" s="19" t="s">
        <v>271</v>
      </c>
      <c r="D27" s="19" t="s">
        <v>124</v>
      </c>
      <c r="E27" s="20" t="s">
        <v>125</v>
      </c>
      <c r="F27" s="21">
        <v>42269</v>
      </c>
      <c r="G27" s="21">
        <v>42206</v>
      </c>
      <c r="H27" s="21">
        <v>42937</v>
      </c>
      <c r="I27" s="21">
        <f ca="1">TODAY()</f>
        <v>42874</v>
      </c>
      <c r="J27" s="49">
        <f ca="1">INT((H27-I27)/30)</f>
        <v>2</v>
      </c>
      <c r="K27" s="17" t="s">
        <v>211</v>
      </c>
    </row>
    <row r="28" spans="2:11" ht="19.5" x14ac:dyDescent="0.3">
      <c r="B28" s="18" t="s">
        <v>271</v>
      </c>
      <c r="C28" s="19" t="s">
        <v>271</v>
      </c>
      <c r="D28" s="19" t="s">
        <v>132</v>
      </c>
      <c r="E28" s="20" t="s">
        <v>133</v>
      </c>
      <c r="F28" s="21">
        <v>42269</v>
      </c>
      <c r="G28" s="21">
        <v>42206</v>
      </c>
      <c r="H28" s="21">
        <v>42937</v>
      </c>
      <c r="I28" s="21">
        <f ca="1">TODAY()</f>
        <v>42874</v>
      </c>
      <c r="J28" s="49">
        <f ca="1">INT((H28-I28)/30)</f>
        <v>2</v>
      </c>
      <c r="K28" s="17" t="s">
        <v>211</v>
      </c>
    </row>
    <row r="29" spans="2:11" ht="19.5" x14ac:dyDescent="0.3">
      <c r="B29" s="18" t="s">
        <v>271</v>
      </c>
      <c r="C29" s="19" t="s">
        <v>271</v>
      </c>
      <c r="D29" s="19" t="s">
        <v>130</v>
      </c>
      <c r="E29" s="20" t="s">
        <v>131</v>
      </c>
      <c r="F29" s="21">
        <v>42269</v>
      </c>
      <c r="G29" s="21">
        <v>42206</v>
      </c>
      <c r="H29" s="21">
        <v>42937</v>
      </c>
      <c r="I29" s="21">
        <f ca="1">TODAY()</f>
        <v>42874</v>
      </c>
      <c r="J29" s="49">
        <f ca="1">INT((H29-I29)/30)</f>
        <v>2</v>
      </c>
      <c r="K29" s="17" t="s">
        <v>211</v>
      </c>
    </row>
    <row r="30" spans="2:11" ht="19.5" x14ac:dyDescent="0.3">
      <c r="B30" s="18" t="s">
        <v>271</v>
      </c>
      <c r="C30" s="19" t="s">
        <v>271</v>
      </c>
      <c r="D30" s="19" t="s">
        <v>128</v>
      </c>
      <c r="E30" s="20" t="s">
        <v>129</v>
      </c>
      <c r="F30" s="21">
        <v>42269</v>
      </c>
      <c r="G30" s="21">
        <v>42206</v>
      </c>
      <c r="H30" s="21">
        <v>42937</v>
      </c>
      <c r="I30" s="21">
        <f ca="1">TODAY()</f>
        <v>42874</v>
      </c>
      <c r="J30" s="49">
        <f ca="1">INT((H30-I30)/30)</f>
        <v>2</v>
      </c>
      <c r="K30" s="17" t="s">
        <v>211</v>
      </c>
    </row>
    <row r="31" spans="2:11" ht="19.5" x14ac:dyDescent="0.3">
      <c r="B31" s="18" t="s">
        <v>271</v>
      </c>
      <c r="C31" s="19" t="s">
        <v>271</v>
      </c>
      <c r="D31" s="19" t="s">
        <v>126</v>
      </c>
      <c r="E31" s="20" t="s">
        <v>127</v>
      </c>
      <c r="F31" s="21">
        <v>42269</v>
      </c>
      <c r="G31" s="21">
        <v>42206</v>
      </c>
      <c r="H31" s="21">
        <v>42937</v>
      </c>
      <c r="I31" s="21">
        <f ca="1">TODAY()</f>
        <v>42874</v>
      </c>
      <c r="J31" s="49">
        <f ca="1">INT((H31-I31)/30)</f>
        <v>2</v>
      </c>
      <c r="K31" s="17" t="s">
        <v>211</v>
      </c>
    </row>
    <row r="32" spans="2:11" ht="19.5" x14ac:dyDescent="0.3">
      <c r="B32" s="18" t="s">
        <v>272</v>
      </c>
      <c r="C32" s="19" t="s">
        <v>272</v>
      </c>
      <c r="D32" s="19" t="s">
        <v>22</v>
      </c>
      <c r="E32" s="20" t="s">
        <v>23</v>
      </c>
      <c r="F32" s="21">
        <v>42286</v>
      </c>
      <c r="G32" s="21">
        <v>42270</v>
      </c>
      <c r="H32" s="21">
        <v>43001</v>
      </c>
      <c r="I32" s="21">
        <f ca="1">TODAY()</f>
        <v>42874</v>
      </c>
      <c r="J32" s="49">
        <f ca="1">INT((H32-I32)/30)</f>
        <v>4</v>
      </c>
      <c r="K32" s="17" t="s">
        <v>211</v>
      </c>
    </row>
    <row r="33" spans="2:11" ht="19.5" x14ac:dyDescent="0.3">
      <c r="B33" s="18" t="s">
        <v>273</v>
      </c>
      <c r="C33" s="19" t="s">
        <v>273</v>
      </c>
      <c r="D33" s="19" t="s">
        <v>274</v>
      </c>
      <c r="E33" s="20" t="s">
        <v>38</v>
      </c>
      <c r="F33" s="21">
        <v>42338</v>
      </c>
      <c r="G33" s="21">
        <v>42314</v>
      </c>
      <c r="H33" s="21">
        <v>43044</v>
      </c>
      <c r="I33" s="21">
        <f ca="1">TODAY()</f>
        <v>42874</v>
      </c>
      <c r="J33" s="49">
        <f ca="1">INT((H33-I33)/30)</f>
        <v>5</v>
      </c>
      <c r="K33" s="17" t="s">
        <v>211</v>
      </c>
    </row>
    <row r="34" spans="2:11" ht="19.5" x14ac:dyDescent="0.3">
      <c r="B34" s="18" t="s">
        <v>275</v>
      </c>
      <c r="C34" s="19" t="s">
        <v>275</v>
      </c>
      <c r="D34" s="19" t="s">
        <v>50</v>
      </c>
      <c r="E34" s="20" t="s">
        <v>51</v>
      </c>
      <c r="F34" s="21">
        <v>42338</v>
      </c>
      <c r="G34" s="21">
        <v>42314</v>
      </c>
      <c r="H34" s="21">
        <v>43044</v>
      </c>
      <c r="I34" s="21">
        <f ca="1">TODAY()</f>
        <v>42874</v>
      </c>
      <c r="J34" s="49">
        <f ca="1">INT((H34-I34)/30)</f>
        <v>5</v>
      </c>
      <c r="K34" s="17" t="s">
        <v>211</v>
      </c>
    </row>
    <row r="35" spans="2:11" ht="19.5" x14ac:dyDescent="0.3">
      <c r="B35" s="18" t="s">
        <v>276</v>
      </c>
      <c r="C35" s="19" t="s">
        <v>276</v>
      </c>
      <c r="D35" s="19" t="s">
        <v>58</v>
      </c>
      <c r="E35" s="20" t="s">
        <v>59</v>
      </c>
      <c r="F35" s="21">
        <v>42338</v>
      </c>
      <c r="G35" s="21">
        <v>42314</v>
      </c>
      <c r="H35" s="21">
        <v>43046</v>
      </c>
      <c r="I35" s="21">
        <f ca="1">TODAY()</f>
        <v>42874</v>
      </c>
      <c r="J35" s="49">
        <f ca="1">INT((H35-I35)/30)</f>
        <v>5</v>
      </c>
      <c r="K35" s="17" t="s">
        <v>211</v>
      </c>
    </row>
    <row r="36" spans="2:11" ht="19.5" x14ac:dyDescent="0.3">
      <c r="B36" s="18" t="s">
        <v>223</v>
      </c>
      <c r="C36" s="19" t="s">
        <v>223</v>
      </c>
      <c r="D36" s="19" t="s">
        <v>66</v>
      </c>
      <c r="E36" s="20" t="s">
        <v>67</v>
      </c>
      <c r="F36" s="21">
        <v>42338</v>
      </c>
      <c r="G36" s="21">
        <v>42314</v>
      </c>
      <c r="H36" s="21">
        <v>43044</v>
      </c>
      <c r="I36" s="21">
        <f ca="1">TODAY()</f>
        <v>42874</v>
      </c>
      <c r="J36" s="49">
        <f ca="1">INT((H36-I36)/30)</f>
        <v>5</v>
      </c>
      <c r="K36" s="17" t="s">
        <v>211</v>
      </c>
    </row>
    <row r="37" spans="2:11" ht="19.5" x14ac:dyDescent="0.3">
      <c r="B37" s="18" t="s">
        <v>226</v>
      </c>
      <c r="C37" s="19" t="s">
        <v>226</v>
      </c>
      <c r="D37" s="19" t="s">
        <v>41</v>
      </c>
      <c r="E37" s="20" t="s">
        <v>42</v>
      </c>
      <c r="F37" s="21">
        <v>42338</v>
      </c>
      <c r="G37" s="21">
        <v>42314</v>
      </c>
      <c r="H37" s="21">
        <v>43044</v>
      </c>
      <c r="I37" s="21">
        <f ca="1">TODAY()</f>
        <v>42874</v>
      </c>
      <c r="J37" s="49">
        <f ca="1">INT((H37-I37)/30)</f>
        <v>5</v>
      </c>
      <c r="K37" s="17" t="s">
        <v>211</v>
      </c>
    </row>
    <row r="38" spans="2:11" ht="19.5" x14ac:dyDescent="0.3">
      <c r="B38" s="18" t="s">
        <v>224</v>
      </c>
      <c r="C38" s="19" t="s">
        <v>224</v>
      </c>
      <c r="D38" s="19" t="s">
        <v>82</v>
      </c>
      <c r="E38" s="20" t="s">
        <v>83</v>
      </c>
      <c r="F38" s="21">
        <v>42338</v>
      </c>
      <c r="G38" s="21">
        <v>42314</v>
      </c>
      <c r="H38" s="21">
        <v>43044</v>
      </c>
      <c r="I38" s="21">
        <f ca="1">TODAY()</f>
        <v>42874</v>
      </c>
      <c r="J38" s="49">
        <f ca="1">INT((H38-I38)/30)</f>
        <v>5</v>
      </c>
      <c r="K38" s="17" t="s">
        <v>211</v>
      </c>
    </row>
    <row r="39" spans="2:11" ht="19.5" x14ac:dyDescent="0.3">
      <c r="B39" s="18" t="s">
        <v>224</v>
      </c>
      <c r="C39" s="19" t="s">
        <v>224</v>
      </c>
      <c r="D39" s="19" t="s">
        <v>85</v>
      </c>
      <c r="E39" s="20" t="s">
        <v>86</v>
      </c>
      <c r="F39" s="21">
        <v>42338</v>
      </c>
      <c r="G39" s="21">
        <v>42314</v>
      </c>
      <c r="H39" s="21">
        <v>43044</v>
      </c>
      <c r="I39" s="21">
        <f ca="1">TODAY()</f>
        <v>42874</v>
      </c>
      <c r="J39" s="49">
        <f ca="1">INT((H39-I39)/30)</f>
        <v>5</v>
      </c>
      <c r="K39" s="17" t="s">
        <v>211</v>
      </c>
    </row>
    <row r="40" spans="2:11" ht="19.5" x14ac:dyDescent="0.3">
      <c r="B40" s="18" t="s">
        <v>224</v>
      </c>
      <c r="C40" s="19" t="s">
        <v>224</v>
      </c>
      <c r="D40" s="19" t="s">
        <v>88</v>
      </c>
      <c r="E40" s="20" t="s">
        <v>87</v>
      </c>
      <c r="F40" s="21">
        <v>42338</v>
      </c>
      <c r="G40" s="21">
        <v>42314</v>
      </c>
      <c r="H40" s="21">
        <v>43044</v>
      </c>
      <c r="I40" s="21">
        <f ca="1">TODAY()</f>
        <v>42874</v>
      </c>
      <c r="J40" s="49">
        <f ca="1">INT((H40-I40)/30)</f>
        <v>5</v>
      </c>
      <c r="K40" s="17" t="s">
        <v>211</v>
      </c>
    </row>
    <row r="41" spans="2:11" ht="19.5" x14ac:dyDescent="0.3">
      <c r="B41" s="18" t="s">
        <v>224</v>
      </c>
      <c r="C41" s="19" t="s">
        <v>224</v>
      </c>
      <c r="D41" s="19" t="s">
        <v>92</v>
      </c>
      <c r="E41" s="20" t="s">
        <v>91</v>
      </c>
      <c r="F41" s="21">
        <v>42338</v>
      </c>
      <c r="G41" s="21">
        <v>42314</v>
      </c>
      <c r="H41" s="21">
        <v>43044</v>
      </c>
      <c r="I41" s="21">
        <f ca="1">TODAY()</f>
        <v>42874</v>
      </c>
      <c r="J41" s="49">
        <f ca="1">INT((H41-I41)/30)</f>
        <v>5</v>
      </c>
      <c r="K41" s="17" t="s">
        <v>211</v>
      </c>
    </row>
    <row r="42" spans="2:11" ht="19.5" x14ac:dyDescent="0.3">
      <c r="B42" s="18" t="s">
        <v>224</v>
      </c>
      <c r="C42" s="19" t="s">
        <v>224</v>
      </c>
      <c r="D42" s="19" t="s">
        <v>90</v>
      </c>
      <c r="E42" s="20" t="s">
        <v>89</v>
      </c>
      <c r="F42" s="21">
        <v>42338</v>
      </c>
      <c r="G42" s="21">
        <v>42314</v>
      </c>
      <c r="H42" s="21">
        <v>43044</v>
      </c>
      <c r="I42" s="21">
        <f ca="1">TODAY()</f>
        <v>42874</v>
      </c>
      <c r="J42" s="49">
        <f ca="1">INT((H42-I42)/30)</f>
        <v>5</v>
      </c>
      <c r="K42" s="17" t="s">
        <v>211</v>
      </c>
    </row>
    <row r="43" spans="2:11" ht="19.5" x14ac:dyDescent="0.3">
      <c r="B43" s="18" t="s">
        <v>224</v>
      </c>
      <c r="C43" s="19" t="s">
        <v>224</v>
      </c>
      <c r="D43" s="19" t="s">
        <v>97</v>
      </c>
      <c r="E43" s="20" t="s">
        <v>98</v>
      </c>
      <c r="F43" s="21">
        <v>42338</v>
      </c>
      <c r="G43" s="21">
        <v>42314</v>
      </c>
      <c r="H43" s="21">
        <v>43044</v>
      </c>
      <c r="I43" s="21">
        <f ca="1">TODAY()</f>
        <v>42874</v>
      </c>
      <c r="J43" s="49">
        <f ca="1">INT((H43-I43)/30)</f>
        <v>5</v>
      </c>
      <c r="K43" s="17" t="s">
        <v>211</v>
      </c>
    </row>
    <row r="44" spans="2:11" ht="19.5" x14ac:dyDescent="0.3">
      <c r="B44" s="18" t="s">
        <v>224</v>
      </c>
      <c r="C44" s="19" t="s">
        <v>224</v>
      </c>
      <c r="D44" s="19" t="s">
        <v>95</v>
      </c>
      <c r="E44" s="20" t="s">
        <v>94</v>
      </c>
      <c r="F44" s="21">
        <v>42338</v>
      </c>
      <c r="G44" s="21">
        <v>42314</v>
      </c>
      <c r="H44" s="21">
        <v>43044</v>
      </c>
      <c r="I44" s="21">
        <f ca="1">TODAY()</f>
        <v>42874</v>
      </c>
      <c r="J44" s="49">
        <f ca="1">INT((H44-I44)/30)</f>
        <v>5</v>
      </c>
      <c r="K44" s="17" t="s">
        <v>211</v>
      </c>
    </row>
    <row r="45" spans="2:11" ht="19.5" x14ac:dyDescent="0.3">
      <c r="B45" s="18" t="s">
        <v>224</v>
      </c>
      <c r="C45" s="19" t="s">
        <v>224</v>
      </c>
      <c r="D45" s="19" t="s">
        <v>99</v>
      </c>
      <c r="E45" s="20" t="s">
        <v>100</v>
      </c>
      <c r="F45" s="21">
        <v>42338</v>
      </c>
      <c r="G45" s="21">
        <v>42314</v>
      </c>
      <c r="H45" s="21">
        <v>43044</v>
      </c>
      <c r="I45" s="21">
        <f ca="1">TODAY()</f>
        <v>42874</v>
      </c>
      <c r="J45" s="49">
        <f ca="1">INT((H45-I45)/30)</f>
        <v>5</v>
      </c>
      <c r="K45" s="17" t="s">
        <v>211</v>
      </c>
    </row>
    <row r="46" spans="2:11" ht="19.5" x14ac:dyDescent="0.3">
      <c r="B46" s="18" t="s">
        <v>224</v>
      </c>
      <c r="C46" s="19" t="s">
        <v>224</v>
      </c>
      <c r="D46" s="19" t="s">
        <v>96</v>
      </c>
      <c r="E46" s="20" t="s">
        <v>93</v>
      </c>
      <c r="F46" s="21">
        <v>42338</v>
      </c>
      <c r="G46" s="21">
        <v>42314</v>
      </c>
      <c r="H46" s="21">
        <v>43044</v>
      </c>
      <c r="I46" s="21">
        <f ca="1">TODAY()</f>
        <v>42874</v>
      </c>
      <c r="J46" s="49">
        <f ca="1">INT((H46-I46)/30)</f>
        <v>5</v>
      </c>
      <c r="K46" s="17" t="s">
        <v>211</v>
      </c>
    </row>
    <row r="47" spans="2:11" ht="19.5" x14ac:dyDescent="0.3">
      <c r="B47" s="18" t="s">
        <v>224</v>
      </c>
      <c r="C47" s="19" t="s">
        <v>224</v>
      </c>
      <c r="D47" s="19" t="s">
        <v>107</v>
      </c>
      <c r="E47" s="20" t="s">
        <v>108</v>
      </c>
      <c r="F47" s="21">
        <v>42338</v>
      </c>
      <c r="G47" s="21">
        <v>42314</v>
      </c>
      <c r="H47" s="21">
        <v>43044</v>
      </c>
      <c r="I47" s="21">
        <f ca="1">TODAY()</f>
        <v>42874</v>
      </c>
      <c r="J47" s="49">
        <f ca="1">INT((H47-I47)/30)</f>
        <v>5</v>
      </c>
      <c r="K47" s="17" t="s">
        <v>211</v>
      </c>
    </row>
    <row r="48" spans="2:11" ht="19.5" x14ac:dyDescent="0.3">
      <c r="B48" s="18" t="s">
        <v>224</v>
      </c>
      <c r="C48" s="19" t="s">
        <v>224</v>
      </c>
      <c r="D48" s="19" t="s">
        <v>105</v>
      </c>
      <c r="E48" s="20" t="s">
        <v>106</v>
      </c>
      <c r="F48" s="21">
        <v>42338</v>
      </c>
      <c r="G48" s="21">
        <v>42314</v>
      </c>
      <c r="H48" s="21">
        <v>43044</v>
      </c>
      <c r="I48" s="21">
        <f ca="1">TODAY()</f>
        <v>42874</v>
      </c>
      <c r="J48" s="49">
        <f ca="1">INT((H48-I48)/30)</f>
        <v>5</v>
      </c>
      <c r="K48" s="17" t="s">
        <v>211</v>
      </c>
    </row>
    <row r="49" spans="2:11" ht="19.5" x14ac:dyDescent="0.3">
      <c r="B49" s="18" t="s">
        <v>224</v>
      </c>
      <c r="C49" s="19" t="s">
        <v>224</v>
      </c>
      <c r="D49" s="19" t="s">
        <v>103</v>
      </c>
      <c r="E49" s="20" t="s">
        <v>104</v>
      </c>
      <c r="F49" s="21">
        <v>42338</v>
      </c>
      <c r="G49" s="21">
        <v>42314</v>
      </c>
      <c r="H49" s="21">
        <v>43044</v>
      </c>
      <c r="I49" s="21">
        <f ca="1">TODAY()</f>
        <v>42874</v>
      </c>
      <c r="J49" s="49">
        <f ca="1">INT((H49-I49)/30)</f>
        <v>5</v>
      </c>
      <c r="K49" s="17" t="s">
        <v>211</v>
      </c>
    </row>
    <row r="50" spans="2:11" ht="19.5" x14ac:dyDescent="0.3">
      <c r="B50" s="18" t="s">
        <v>224</v>
      </c>
      <c r="C50" s="19" t="s">
        <v>224</v>
      </c>
      <c r="D50" s="19" t="s">
        <v>101</v>
      </c>
      <c r="E50" s="20" t="s">
        <v>102</v>
      </c>
      <c r="F50" s="21">
        <v>42338</v>
      </c>
      <c r="G50" s="21">
        <v>42314</v>
      </c>
      <c r="H50" s="21">
        <v>43044</v>
      </c>
      <c r="I50" s="21">
        <f ca="1">TODAY()</f>
        <v>42874</v>
      </c>
      <c r="J50" s="49">
        <f ca="1">INT((H50-I50)/30)</f>
        <v>5</v>
      </c>
      <c r="K50" s="17" t="s">
        <v>211</v>
      </c>
    </row>
    <row r="51" spans="2:11" ht="19.5" x14ac:dyDescent="0.3">
      <c r="B51" s="18" t="s">
        <v>277</v>
      </c>
      <c r="C51" s="19" t="s">
        <v>277</v>
      </c>
      <c r="D51" s="19" t="s">
        <v>158</v>
      </c>
      <c r="E51" s="20" t="s">
        <v>159</v>
      </c>
      <c r="F51" s="21">
        <v>42338</v>
      </c>
      <c r="G51" s="21">
        <v>42320</v>
      </c>
      <c r="H51" s="21">
        <v>43050</v>
      </c>
      <c r="I51" s="21">
        <f ca="1">TODAY()</f>
        <v>42874</v>
      </c>
      <c r="J51" s="49">
        <f ca="1">INT((H51-I51)/30)</f>
        <v>5</v>
      </c>
      <c r="K51" s="17" t="s">
        <v>211</v>
      </c>
    </row>
    <row r="52" spans="2:11" ht="19.5" x14ac:dyDescent="0.3">
      <c r="B52" s="18" t="s">
        <v>278</v>
      </c>
      <c r="C52" s="19" t="s">
        <v>278</v>
      </c>
      <c r="D52" s="19" t="s">
        <v>279</v>
      </c>
      <c r="E52" s="20" t="s">
        <v>140</v>
      </c>
      <c r="F52" s="21">
        <v>42338</v>
      </c>
      <c r="G52" s="21">
        <v>42320</v>
      </c>
      <c r="H52" s="21">
        <v>43050</v>
      </c>
      <c r="I52" s="21">
        <f ca="1">TODAY()</f>
        <v>42874</v>
      </c>
      <c r="J52" s="49">
        <f ca="1">INT((H52-I52)/30)</f>
        <v>5</v>
      </c>
      <c r="K52" s="17" t="s">
        <v>211</v>
      </c>
    </row>
    <row r="53" spans="2:11" ht="19.5" x14ac:dyDescent="0.3">
      <c r="B53" s="18" t="s">
        <v>280</v>
      </c>
      <c r="C53" s="19" t="s">
        <v>281</v>
      </c>
      <c r="D53" s="19" t="s">
        <v>2</v>
      </c>
      <c r="E53" s="20" t="s">
        <v>3</v>
      </c>
      <c r="F53" s="21">
        <v>42380</v>
      </c>
      <c r="G53" s="21">
        <v>42346</v>
      </c>
      <c r="H53" s="21">
        <v>43076</v>
      </c>
      <c r="I53" s="21">
        <f ca="1">TODAY()</f>
        <v>42874</v>
      </c>
      <c r="J53" s="49">
        <f ca="1">INT((H53-I53)/30)</f>
        <v>6</v>
      </c>
      <c r="K53" s="17" t="s">
        <v>211</v>
      </c>
    </row>
    <row r="54" spans="2:11" ht="19.5" x14ac:dyDescent="0.3">
      <c r="B54" s="18" t="s">
        <v>282</v>
      </c>
      <c r="C54" s="19" t="s">
        <v>282</v>
      </c>
      <c r="D54" s="19" t="s">
        <v>10</v>
      </c>
      <c r="E54" s="20" t="s">
        <v>11</v>
      </c>
      <c r="F54" s="21">
        <v>42380</v>
      </c>
      <c r="G54" s="21">
        <v>42346</v>
      </c>
      <c r="H54" s="21">
        <v>43076</v>
      </c>
      <c r="I54" s="21">
        <f ca="1">TODAY()</f>
        <v>42874</v>
      </c>
      <c r="J54" s="49">
        <f ca="1">INT((H54-I54)/30)</f>
        <v>6</v>
      </c>
      <c r="K54" s="17" t="s">
        <v>211</v>
      </c>
    </row>
    <row r="55" spans="2:11" ht="19.5" x14ac:dyDescent="0.3">
      <c r="B55" s="18" t="s">
        <v>283</v>
      </c>
      <c r="C55" s="19" t="s">
        <v>284</v>
      </c>
      <c r="D55" s="19" t="s">
        <v>187</v>
      </c>
      <c r="E55" s="20" t="s">
        <v>188</v>
      </c>
      <c r="F55" s="21">
        <v>42452</v>
      </c>
      <c r="G55" s="21">
        <v>42382</v>
      </c>
      <c r="H55" s="21">
        <v>43112</v>
      </c>
      <c r="I55" s="21">
        <f ca="1">TODAY()</f>
        <v>42874</v>
      </c>
      <c r="J55" s="49">
        <f ca="1">INT((H55-I55)/30)</f>
        <v>7</v>
      </c>
      <c r="K55" s="17" t="s">
        <v>211</v>
      </c>
    </row>
    <row r="56" spans="2:11" ht="19.5" x14ac:dyDescent="0.3">
      <c r="B56" s="18" t="s">
        <v>285</v>
      </c>
      <c r="C56" s="19" t="s">
        <v>286</v>
      </c>
      <c r="D56" s="19" t="s">
        <v>287</v>
      </c>
      <c r="E56" s="20" t="s">
        <v>47</v>
      </c>
      <c r="F56" s="21">
        <v>42452</v>
      </c>
      <c r="G56" s="21">
        <v>42382</v>
      </c>
      <c r="H56" s="21">
        <v>43112</v>
      </c>
      <c r="I56" s="21">
        <f ca="1">TODAY()</f>
        <v>42874</v>
      </c>
      <c r="J56" s="49">
        <f ca="1">INT((H56-I56)/30)</f>
        <v>7</v>
      </c>
      <c r="K56" s="17" t="s">
        <v>211</v>
      </c>
    </row>
    <row r="57" spans="2:11" ht="19.5" x14ac:dyDescent="0.3">
      <c r="B57" s="45" t="s">
        <v>229</v>
      </c>
      <c r="C57" s="19"/>
      <c r="D57" s="19"/>
      <c r="E57" s="20"/>
      <c r="F57" s="21"/>
      <c r="G57" s="21"/>
      <c r="H57" s="21">
        <v>43160</v>
      </c>
      <c r="I57" s="21">
        <f ca="1">TODAY()</f>
        <v>42874</v>
      </c>
      <c r="J57" s="49">
        <f ca="1">INT((H57-I57)/30)</f>
        <v>9</v>
      </c>
      <c r="K57" s="17" t="s">
        <v>211</v>
      </c>
    </row>
    <row r="58" spans="2:11" ht="19.5" x14ac:dyDescent="0.3">
      <c r="B58" s="45" t="s">
        <v>230</v>
      </c>
      <c r="C58" s="19"/>
      <c r="D58" s="19"/>
      <c r="E58" s="20"/>
      <c r="F58" s="21"/>
      <c r="G58" s="21"/>
      <c r="H58" s="21">
        <v>43161</v>
      </c>
      <c r="I58" s="21">
        <f ca="1">TODAY()</f>
        <v>42874</v>
      </c>
      <c r="J58" s="49">
        <f ca="1">INT((H58-I58)/30)</f>
        <v>9</v>
      </c>
      <c r="K58" s="17" t="s">
        <v>211</v>
      </c>
    </row>
    <row r="59" spans="2:11" ht="19.5" x14ac:dyDescent="0.3">
      <c r="B59" s="18" t="s">
        <v>288</v>
      </c>
      <c r="C59" s="19" t="s">
        <v>288</v>
      </c>
      <c r="D59" s="19" t="s">
        <v>20</v>
      </c>
      <c r="E59" s="20" t="s">
        <v>21</v>
      </c>
      <c r="F59" s="21">
        <v>42597</v>
      </c>
      <c r="G59" s="21">
        <v>42457</v>
      </c>
      <c r="H59" s="21">
        <v>43186</v>
      </c>
      <c r="I59" s="21">
        <f ca="1">TODAY()</f>
        <v>42874</v>
      </c>
      <c r="J59" s="48">
        <f ca="1">INT((H59-I59)/30)</f>
        <v>10</v>
      </c>
      <c r="K59" s="17" t="s">
        <v>211</v>
      </c>
    </row>
    <row r="60" spans="2:11" ht="19.5" x14ac:dyDescent="0.3">
      <c r="B60" s="18" t="s">
        <v>289</v>
      </c>
      <c r="C60" s="19" t="s">
        <v>290</v>
      </c>
      <c r="D60" s="19" t="s">
        <v>18</v>
      </c>
      <c r="E60" s="20" t="s">
        <v>19</v>
      </c>
      <c r="F60" s="21">
        <v>42597</v>
      </c>
      <c r="G60" s="21">
        <v>42457</v>
      </c>
      <c r="H60" s="21">
        <v>43186</v>
      </c>
      <c r="I60" s="21">
        <f ca="1">TODAY()</f>
        <v>42874</v>
      </c>
      <c r="J60" s="48">
        <f ca="1">INT((H60-I60)/30)</f>
        <v>10</v>
      </c>
      <c r="K60" s="17" t="s">
        <v>211</v>
      </c>
    </row>
    <row r="61" spans="2:11" ht="19.5" x14ac:dyDescent="0.3">
      <c r="B61" s="18" t="s">
        <v>291</v>
      </c>
      <c r="C61" s="19" t="s">
        <v>290</v>
      </c>
      <c r="D61" s="19" t="s">
        <v>16</v>
      </c>
      <c r="E61" s="20" t="s">
        <v>17</v>
      </c>
      <c r="F61" s="21">
        <v>42597</v>
      </c>
      <c r="G61" s="21">
        <v>42496</v>
      </c>
      <c r="H61" s="21">
        <v>43225</v>
      </c>
      <c r="I61" s="21">
        <f ca="1">TODAY()</f>
        <v>42874</v>
      </c>
      <c r="J61" s="48">
        <f ca="1">INT((H61-I61)/30)</f>
        <v>11</v>
      </c>
      <c r="K61" s="17" t="s">
        <v>211</v>
      </c>
    </row>
    <row r="62" spans="2:11" ht="19.5" x14ac:dyDescent="0.3">
      <c r="B62" s="18" t="s">
        <v>222</v>
      </c>
      <c r="C62" s="19" t="s">
        <v>222</v>
      </c>
      <c r="D62" s="19" t="s">
        <v>26</v>
      </c>
      <c r="E62" s="20" t="s">
        <v>27</v>
      </c>
      <c r="F62" s="21">
        <v>42625</v>
      </c>
      <c r="G62" s="21">
        <v>42496</v>
      </c>
      <c r="H62" s="21">
        <v>43225</v>
      </c>
      <c r="I62" s="21">
        <f ca="1">TODAY()</f>
        <v>42874</v>
      </c>
      <c r="J62" s="48">
        <f ca="1">INT((H62-I62)/30)</f>
        <v>11</v>
      </c>
      <c r="K62" s="17" t="s">
        <v>211</v>
      </c>
    </row>
    <row r="63" spans="2:11" ht="19.5" x14ac:dyDescent="0.3">
      <c r="B63" s="18" t="s">
        <v>222</v>
      </c>
      <c r="C63" s="19" t="s">
        <v>222</v>
      </c>
      <c r="D63" s="19" t="s">
        <v>24</v>
      </c>
      <c r="E63" s="20" t="s">
        <v>25</v>
      </c>
      <c r="F63" s="21">
        <v>42625</v>
      </c>
      <c r="G63" s="21">
        <v>42496</v>
      </c>
      <c r="H63" s="21">
        <v>43225</v>
      </c>
      <c r="I63" s="21">
        <f ca="1">TODAY()</f>
        <v>42874</v>
      </c>
      <c r="J63" s="48">
        <f ca="1">INT((H63-I63)/30)</f>
        <v>11</v>
      </c>
      <c r="K63" s="17" t="s">
        <v>211</v>
      </c>
    </row>
    <row r="64" spans="2:11" ht="19.5" x14ac:dyDescent="0.3">
      <c r="B64" s="18" t="s">
        <v>225</v>
      </c>
      <c r="C64" s="19" t="s">
        <v>292</v>
      </c>
      <c r="D64" s="19" t="s">
        <v>293</v>
      </c>
      <c r="E64" s="20" t="s">
        <v>186</v>
      </c>
      <c r="F64" s="21">
        <v>42631</v>
      </c>
      <c r="G64" s="21">
        <v>42573</v>
      </c>
      <c r="H64" s="21">
        <v>43302</v>
      </c>
      <c r="I64" s="21">
        <f ca="1">TODAY()</f>
        <v>42874</v>
      </c>
      <c r="J64" s="48">
        <f ca="1">INT((H64-I64)/30)</f>
        <v>14</v>
      </c>
      <c r="K64" s="17" t="s">
        <v>211</v>
      </c>
    </row>
    <row r="65" spans="2:11" ht="19.5" x14ac:dyDescent="0.3">
      <c r="B65" s="18" t="s">
        <v>225</v>
      </c>
      <c r="C65" s="19" t="s">
        <v>292</v>
      </c>
      <c r="D65" s="19" t="s">
        <v>294</v>
      </c>
      <c r="E65" s="20" t="s">
        <v>184</v>
      </c>
      <c r="F65" s="21">
        <v>42631</v>
      </c>
      <c r="G65" s="21">
        <v>42573</v>
      </c>
      <c r="H65" s="21">
        <v>43302</v>
      </c>
      <c r="I65" s="21">
        <f ca="1">TODAY()</f>
        <v>42874</v>
      </c>
      <c r="J65" s="48">
        <f ca="1">INT((H65-I65)/30)</f>
        <v>14</v>
      </c>
      <c r="K65" s="17" t="s">
        <v>211</v>
      </c>
    </row>
    <row r="66" spans="2:11" ht="19.5" x14ac:dyDescent="0.3">
      <c r="B66" s="18" t="s">
        <v>225</v>
      </c>
      <c r="C66" s="19" t="s">
        <v>292</v>
      </c>
      <c r="D66" s="19" t="s">
        <v>295</v>
      </c>
      <c r="E66" s="20" t="s">
        <v>185</v>
      </c>
      <c r="F66" s="21">
        <v>42631</v>
      </c>
      <c r="G66" s="21">
        <v>42573</v>
      </c>
      <c r="H66" s="21">
        <v>43302</v>
      </c>
      <c r="I66" s="21">
        <f ca="1">TODAY()</f>
        <v>42874</v>
      </c>
      <c r="J66" s="48">
        <f ca="1">INT((H66-I66)/30)</f>
        <v>14</v>
      </c>
      <c r="K66" s="17" t="s">
        <v>211</v>
      </c>
    </row>
    <row r="67" spans="2:11" ht="19.5" x14ac:dyDescent="0.3">
      <c r="B67" s="18" t="s">
        <v>225</v>
      </c>
      <c r="C67" s="19" t="s">
        <v>292</v>
      </c>
      <c r="D67" s="19" t="s">
        <v>296</v>
      </c>
      <c r="E67" s="20" t="s">
        <v>183</v>
      </c>
      <c r="F67" s="21">
        <v>42631</v>
      </c>
      <c r="G67" s="21">
        <v>42573</v>
      </c>
      <c r="H67" s="21">
        <v>43302</v>
      </c>
      <c r="I67" s="21">
        <f ca="1">TODAY()</f>
        <v>42874</v>
      </c>
      <c r="J67" s="48">
        <f ca="1">INT((H67-I67)/30)</f>
        <v>14</v>
      </c>
      <c r="K67" s="17" t="s">
        <v>211</v>
      </c>
    </row>
    <row r="68" spans="2:11" ht="19.5" x14ac:dyDescent="0.3">
      <c r="B68" s="18" t="s">
        <v>225</v>
      </c>
      <c r="C68" s="19" t="s">
        <v>292</v>
      </c>
      <c r="D68" s="19" t="s">
        <v>297</v>
      </c>
      <c r="E68" s="20" t="s">
        <v>181</v>
      </c>
      <c r="F68" s="21">
        <v>42631</v>
      </c>
      <c r="G68" s="21">
        <v>42573</v>
      </c>
      <c r="H68" s="21">
        <v>43302</v>
      </c>
      <c r="I68" s="21">
        <f ca="1">TODAY()</f>
        <v>42874</v>
      </c>
      <c r="J68" s="48">
        <f ca="1">INT((H68-I68)/30)</f>
        <v>14</v>
      </c>
      <c r="K68" s="17" t="s">
        <v>211</v>
      </c>
    </row>
    <row r="69" spans="2:11" ht="19.5" x14ac:dyDescent="0.3">
      <c r="B69" s="18" t="s">
        <v>225</v>
      </c>
      <c r="C69" s="19" t="s">
        <v>292</v>
      </c>
      <c r="D69" s="19" t="s">
        <v>298</v>
      </c>
      <c r="E69" s="20" t="s">
        <v>182</v>
      </c>
      <c r="F69" s="21">
        <v>42631</v>
      </c>
      <c r="G69" s="21">
        <v>42573</v>
      </c>
      <c r="H69" s="21">
        <v>43302</v>
      </c>
      <c r="I69" s="21">
        <f ca="1">TODAY()</f>
        <v>42874</v>
      </c>
      <c r="J69" s="48">
        <f ca="1">INT((H69-I69)/30)</f>
        <v>14</v>
      </c>
      <c r="K69" s="17" t="s">
        <v>211</v>
      </c>
    </row>
    <row r="70" spans="2:11" ht="19.5" x14ac:dyDescent="0.3">
      <c r="B70" s="18" t="s">
        <v>225</v>
      </c>
      <c r="C70" s="19" t="s">
        <v>292</v>
      </c>
      <c r="D70" s="19" t="s">
        <v>296</v>
      </c>
      <c r="E70" s="20" t="s">
        <v>180</v>
      </c>
      <c r="F70" s="21">
        <v>42631</v>
      </c>
      <c r="G70" s="21">
        <v>42573</v>
      </c>
      <c r="H70" s="21">
        <v>43302</v>
      </c>
      <c r="I70" s="21">
        <f ca="1">TODAY()</f>
        <v>42874</v>
      </c>
      <c r="J70" s="48">
        <f ca="1">INT((H70-I70)/30)</f>
        <v>14</v>
      </c>
      <c r="K70" s="17" t="s">
        <v>211</v>
      </c>
    </row>
    <row r="71" spans="2:11" ht="19.5" x14ac:dyDescent="0.3">
      <c r="B71" s="18" t="s">
        <v>225</v>
      </c>
      <c r="C71" s="19" t="s">
        <v>292</v>
      </c>
      <c r="D71" s="19" t="s">
        <v>297</v>
      </c>
      <c r="E71" s="20" t="s">
        <v>179</v>
      </c>
      <c r="F71" s="21">
        <v>42631</v>
      </c>
      <c r="G71" s="21">
        <v>42573</v>
      </c>
      <c r="H71" s="21">
        <v>43302</v>
      </c>
      <c r="I71" s="21">
        <f ca="1">TODAY()</f>
        <v>42874</v>
      </c>
      <c r="J71" s="48">
        <f ca="1">INT((H71-I71)/30)</f>
        <v>14</v>
      </c>
      <c r="K71" s="17" t="s">
        <v>211</v>
      </c>
    </row>
    <row r="72" spans="2:11" ht="19.5" x14ac:dyDescent="0.3">
      <c r="B72" s="18" t="s">
        <v>225</v>
      </c>
      <c r="C72" s="19" t="s">
        <v>292</v>
      </c>
      <c r="D72" s="19" t="s">
        <v>298</v>
      </c>
      <c r="E72" s="20" t="s">
        <v>178</v>
      </c>
      <c r="F72" s="21">
        <v>42631</v>
      </c>
      <c r="G72" s="21">
        <v>42573</v>
      </c>
      <c r="H72" s="21">
        <v>43302</v>
      </c>
      <c r="I72" s="21">
        <f ca="1">TODAY()</f>
        <v>42874</v>
      </c>
      <c r="J72" s="48">
        <f ca="1">INT((H72-I72)/30)</f>
        <v>14</v>
      </c>
      <c r="K72" s="17" t="s">
        <v>211</v>
      </c>
    </row>
    <row r="73" spans="2:11" ht="19.5" x14ac:dyDescent="0.3">
      <c r="B73" s="23" t="s">
        <v>299</v>
      </c>
      <c r="C73" s="19" t="s">
        <v>300</v>
      </c>
      <c r="D73" s="19" t="s">
        <v>0</v>
      </c>
      <c r="E73" s="20" t="s">
        <v>1</v>
      </c>
      <c r="F73" s="21">
        <v>42683</v>
      </c>
      <c r="G73" s="21">
        <v>42585</v>
      </c>
      <c r="H73" s="21">
        <v>43314</v>
      </c>
      <c r="I73" s="21">
        <f ca="1">TODAY()</f>
        <v>42874</v>
      </c>
      <c r="J73" s="48">
        <f ca="1">INT((H73-I73)/30)</f>
        <v>14</v>
      </c>
      <c r="K73" s="17" t="s">
        <v>211</v>
      </c>
    </row>
    <row r="74" spans="2:11" ht="19.5" x14ac:dyDescent="0.3">
      <c r="B74" s="18" t="s">
        <v>301</v>
      </c>
      <c r="C74" s="19" t="s">
        <v>302</v>
      </c>
      <c r="D74" s="19" t="s">
        <v>8</v>
      </c>
      <c r="E74" s="20" t="s">
        <v>9</v>
      </c>
      <c r="F74" s="21">
        <v>42683</v>
      </c>
      <c r="G74" s="21">
        <v>42585</v>
      </c>
      <c r="H74" s="21">
        <v>43314</v>
      </c>
      <c r="I74" s="21">
        <f ca="1">TODAY()</f>
        <v>42874</v>
      </c>
      <c r="J74" s="48">
        <f ca="1">INT((H74-I74)/30)</f>
        <v>14</v>
      </c>
      <c r="K74" s="17" t="s">
        <v>211</v>
      </c>
    </row>
    <row r="75" spans="2:11" ht="19.5" x14ac:dyDescent="0.3">
      <c r="B75" s="18" t="s">
        <v>303</v>
      </c>
      <c r="C75" s="19" t="s">
        <v>304</v>
      </c>
      <c r="D75" s="19" t="s">
        <v>48</v>
      </c>
      <c r="E75" s="20" t="s">
        <v>49</v>
      </c>
      <c r="F75" s="21">
        <v>42683</v>
      </c>
      <c r="G75" s="21">
        <v>42585</v>
      </c>
      <c r="H75" s="21">
        <v>43314</v>
      </c>
      <c r="I75" s="21">
        <f ca="1">TODAY()</f>
        <v>42874</v>
      </c>
      <c r="J75" s="48">
        <f ca="1">INT((H75-I75)/30)</f>
        <v>14</v>
      </c>
      <c r="K75" s="17" t="s">
        <v>211</v>
      </c>
    </row>
    <row r="76" spans="2:11" ht="19.5" x14ac:dyDescent="0.3">
      <c r="B76" s="18" t="s">
        <v>305</v>
      </c>
      <c r="C76" s="19" t="s">
        <v>306</v>
      </c>
      <c r="D76" s="19" t="s">
        <v>56</v>
      </c>
      <c r="E76" s="20" t="s">
        <v>57</v>
      </c>
      <c r="F76" s="21">
        <v>42683</v>
      </c>
      <c r="G76" s="21">
        <v>42585</v>
      </c>
      <c r="H76" s="21">
        <v>43314</v>
      </c>
      <c r="I76" s="21">
        <f ca="1">TODAY()</f>
        <v>42874</v>
      </c>
      <c r="J76" s="48">
        <f ca="1">INT((H76-I76)/30)</f>
        <v>14</v>
      </c>
      <c r="K76" s="17" t="s">
        <v>211</v>
      </c>
    </row>
    <row r="77" spans="2:11" ht="19.5" x14ac:dyDescent="0.3">
      <c r="B77" s="18" t="s">
        <v>307</v>
      </c>
      <c r="C77" s="19" t="s">
        <v>231</v>
      </c>
      <c r="D77" s="19" t="s">
        <v>64</v>
      </c>
      <c r="E77" s="20" t="s">
        <v>65</v>
      </c>
      <c r="F77" s="21">
        <v>42683</v>
      </c>
      <c r="G77" s="21">
        <v>42585</v>
      </c>
      <c r="H77" s="21">
        <v>43314</v>
      </c>
      <c r="I77" s="21">
        <f ca="1">TODAY()</f>
        <v>42874</v>
      </c>
      <c r="J77" s="48">
        <f ca="1">INT((H77-I77)/30)</f>
        <v>14</v>
      </c>
      <c r="K77" s="17" t="s">
        <v>211</v>
      </c>
    </row>
    <row r="78" spans="2:11" ht="19.5" x14ac:dyDescent="0.3">
      <c r="B78" s="18" t="s">
        <v>308</v>
      </c>
      <c r="C78" s="19" t="s">
        <v>231</v>
      </c>
      <c r="D78" s="19" t="s">
        <v>68</v>
      </c>
      <c r="E78" s="20" t="s">
        <v>69</v>
      </c>
      <c r="F78" s="21">
        <v>42683</v>
      </c>
      <c r="G78" s="21">
        <v>42585</v>
      </c>
      <c r="H78" s="21">
        <v>43314</v>
      </c>
      <c r="I78" s="21">
        <f ca="1">TODAY()</f>
        <v>42874</v>
      </c>
      <c r="J78" s="48">
        <f ca="1">INT((H78-I78)/30)</f>
        <v>14</v>
      </c>
      <c r="K78" s="17" t="s">
        <v>211</v>
      </c>
    </row>
    <row r="79" spans="2:11" ht="19.5" x14ac:dyDescent="0.3">
      <c r="B79" s="18" t="s">
        <v>309</v>
      </c>
      <c r="C79" s="19" t="s">
        <v>256</v>
      </c>
      <c r="D79" s="19" t="s">
        <v>146</v>
      </c>
      <c r="E79" s="20" t="s">
        <v>147</v>
      </c>
      <c r="F79" s="21">
        <v>42683</v>
      </c>
      <c r="G79" s="21">
        <v>42585</v>
      </c>
      <c r="H79" s="21">
        <v>43314</v>
      </c>
      <c r="I79" s="21">
        <f ca="1">TODAY()</f>
        <v>42874</v>
      </c>
      <c r="J79" s="48">
        <f ca="1">INT((H79-I79)/30)</f>
        <v>14</v>
      </c>
      <c r="K79" s="17" t="s">
        <v>211</v>
      </c>
    </row>
    <row r="80" spans="2:11" ht="19.5" x14ac:dyDescent="0.3">
      <c r="B80" s="18" t="s">
        <v>232</v>
      </c>
      <c r="C80" s="19" t="s">
        <v>232</v>
      </c>
      <c r="D80" s="19" t="s">
        <v>74</v>
      </c>
      <c r="E80" s="20" t="s">
        <v>75</v>
      </c>
      <c r="F80" s="21">
        <v>42683</v>
      </c>
      <c r="G80" s="21">
        <v>42585</v>
      </c>
      <c r="H80" s="21">
        <v>43314</v>
      </c>
      <c r="I80" s="21">
        <f ca="1">TODAY()</f>
        <v>42874</v>
      </c>
      <c r="J80" s="48">
        <f ca="1">INT((H80-I80)/30)</f>
        <v>14</v>
      </c>
      <c r="K80" s="17" t="s">
        <v>211</v>
      </c>
    </row>
    <row r="81" spans="2:11" ht="19.5" x14ac:dyDescent="0.3">
      <c r="B81" s="18" t="s">
        <v>310</v>
      </c>
      <c r="C81" s="19" t="s">
        <v>311</v>
      </c>
      <c r="D81" s="19" t="s">
        <v>162</v>
      </c>
      <c r="E81" s="20" t="s">
        <v>163</v>
      </c>
      <c r="F81" s="21">
        <v>42683</v>
      </c>
      <c r="G81" s="21">
        <v>42639</v>
      </c>
      <c r="H81" s="21">
        <v>43368</v>
      </c>
      <c r="I81" s="21">
        <f ca="1">TODAY()</f>
        <v>42874</v>
      </c>
      <c r="J81" s="48">
        <f ca="1">INT((H81-I81)/30)</f>
        <v>16</v>
      </c>
      <c r="K81" s="17" t="s">
        <v>211</v>
      </c>
    </row>
    <row r="82" spans="2:11" ht="19.5" x14ac:dyDescent="0.3">
      <c r="B82" s="18" t="s">
        <v>312</v>
      </c>
      <c r="C82" s="19" t="s">
        <v>300</v>
      </c>
      <c r="D82" s="19" t="s">
        <v>6</v>
      </c>
      <c r="E82" s="20" t="s">
        <v>7</v>
      </c>
      <c r="F82" s="21">
        <v>42706</v>
      </c>
      <c r="G82" s="21">
        <v>42681</v>
      </c>
      <c r="H82" s="21">
        <v>43410</v>
      </c>
      <c r="I82" s="21">
        <f ca="1">TODAY()</f>
        <v>42874</v>
      </c>
      <c r="J82" s="48">
        <f ca="1">INT((H82-I82)/30)</f>
        <v>17</v>
      </c>
      <c r="K82" s="17" t="s">
        <v>211</v>
      </c>
    </row>
    <row r="83" spans="2:11" ht="19.5" x14ac:dyDescent="0.3">
      <c r="B83" s="18" t="s">
        <v>313</v>
      </c>
      <c r="C83" s="19" t="s">
        <v>300</v>
      </c>
      <c r="D83" s="19" t="s">
        <v>4</v>
      </c>
      <c r="E83" s="20" t="s">
        <v>5</v>
      </c>
      <c r="F83" s="21">
        <v>42706</v>
      </c>
      <c r="G83" s="21">
        <v>42681</v>
      </c>
      <c r="H83" s="21">
        <v>43410</v>
      </c>
      <c r="I83" s="21">
        <f ca="1">TODAY()</f>
        <v>42874</v>
      </c>
      <c r="J83" s="48">
        <f ca="1">INT((H83-I83)/30)</f>
        <v>17</v>
      </c>
      <c r="K83" s="17" t="s">
        <v>211</v>
      </c>
    </row>
    <row r="84" spans="2:11" ht="19.5" x14ac:dyDescent="0.3">
      <c r="B84" s="18" t="s">
        <v>314</v>
      </c>
      <c r="C84" s="19" t="s">
        <v>302</v>
      </c>
      <c r="D84" s="19" t="s">
        <v>14</v>
      </c>
      <c r="E84" s="20" t="s">
        <v>15</v>
      </c>
      <c r="F84" s="21">
        <v>42706</v>
      </c>
      <c r="G84" s="21">
        <v>42681</v>
      </c>
      <c r="H84" s="21">
        <v>43410</v>
      </c>
      <c r="I84" s="21">
        <f ca="1">TODAY()</f>
        <v>42874</v>
      </c>
      <c r="J84" s="48">
        <f ca="1">INT((H84-I84)/30)</f>
        <v>17</v>
      </c>
      <c r="K84" s="17" t="s">
        <v>211</v>
      </c>
    </row>
    <row r="85" spans="2:11" ht="19.5" x14ac:dyDescent="0.3">
      <c r="B85" s="18" t="s">
        <v>315</v>
      </c>
      <c r="C85" s="19" t="s">
        <v>302</v>
      </c>
      <c r="D85" s="19" t="s">
        <v>12</v>
      </c>
      <c r="E85" s="20" t="s">
        <v>13</v>
      </c>
      <c r="F85" s="21">
        <v>42706</v>
      </c>
      <c r="G85" s="21">
        <v>42681</v>
      </c>
      <c r="H85" s="21">
        <v>43410</v>
      </c>
      <c r="I85" s="21">
        <f ca="1">TODAY()</f>
        <v>42874</v>
      </c>
      <c r="J85" s="48">
        <f ca="1">INT((H85-I85)/30)</f>
        <v>17</v>
      </c>
      <c r="K85" s="17" t="s">
        <v>211</v>
      </c>
    </row>
    <row r="86" spans="2:11" ht="19.5" x14ac:dyDescent="0.3">
      <c r="B86" s="18" t="s">
        <v>316</v>
      </c>
      <c r="C86" s="19" t="s">
        <v>286</v>
      </c>
      <c r="D86" s="19" t="s">
        <v>45</v>
      </c>
      <c r="E86" s="20" t="s">
        <v>46</v>
      </c>
      <c r="F86" s="21">
        <v>42706</v>
      </c>
      <c r="G86" s="21">
        <v>42681</v>
      </c>
      <c r="H86" s="21">
        <v>43410</v>
      </c>
      <c r="I86" s="21">
        <f ca="1">TODAY()</f>
        <v>42874</v>
      </c>
      <c r="J86" s="48">
        <f ca="1">INT((H86-I86)/30)</f>
        <v>17</v>
      </c>
      <c r="K86" s="17" t="s">
        <v>211</v>
      </c>
    </row>
    <row r="87" spans="2:11" ht="19.5" x14ac:dyDescent="0.3">
      <c r="B87" s="18" t="s">
        <v>317</v>
      </c>
      <c r="C87" s="19" t="s">
        <v>286</v>
      </c>
      <c r="D87" s="19" t="s">
        <v>43</v>
      </c>
      <c r="E87" s="20" t="s">
        <v>44</v>
      </c>
      <c r="F87" s="21">
        <v>42706</v>
      </c>
      <c r="G87" s="21">
        <v>42681</v>
      </c>
      <c r="H87" s="21">
        <v>43410</v>
      </c>
      <c r="I87" s="21">
        <f ca="1">TODAY()</f>
        <v>42874</v>
      </c>
      <c r="J87" s="48">
        <f ca="1">INT((H87-I87)/30)</f>
        <v>17</v>
      </c>
      <c r="K87" s="17" t="s">
        <v>211</v>
      </c>
    </row>
    <row r="88" spans="2:11" ht="19.5" x14ac:dyDescent="0.3">
      <c r="B88" s="18" t="s">
        <v>318</v>
      </c>
      <c r="C88" s="19" t="s">
        <v>304</v>
      </c>
      <c r="D88" s="19" t="s">
        <v>54</v>
      </c>
      <c r="E88" s="20" t="s">
        <v>55</v>
      </c>
      <c r="F88" s="21">
        <v>42706</v>
      </c>
      <c r="G88" s="21">
        <v>42681</v>
      </c>
      <c r="H88" s="21">
        <v>43410</v>
      </c>
      <c r="I88" s="21">
        <f ca="1">TODAY()</f>
        <v>42874</v>
      </c>
      <c r="J88" s="48">
        <f ca="1">INT((H88-I88)/30)</f>
        <v>17</v>
      </c>
      <c r="K88" s="17" t="s">
        <v>211</v>
      </c>
    </row>
    <row r="89" spans="2:11" ht="19.5" x14ac:dyDescent="0.3">
      <c r="B89" s="18" t="s">
        <v>319</v>
      </c>
      <c r="C89" s="19" t="s">
        <v>304</v>
      </c>
      <c r="D89" s="19" t="s">
        <v>52</v>
      </c>
      <c r="E89" s="20" t="s">
        <v>53</v>
      </c>
      <c r="F89" s="21">
        <v>42706</v>
      </c>
      <c r="G89" s="21">
        <v>42681</v>
      </c>
      <c r="H89" s="21">
        <v>43410</v>
      </c>
      <c r="I89" s="21">
        <f ca="1">TODAY()</f>
        <v>42874</v>
      </c>
      <c r="J89" s="48">
        <f ca="1">INT((H89-I89)/30)</f>
        <v>17</v>
      </c>
      <c r="K89" s="17" t="s">
        <v>211</v>
      </c>
    </row>
    <row r="90" spans="2:11" ht="19.5" x14ac:dyDescent="0.3">
      <c r="B90" s="18" t="s">
        <v>320</v>
      </c>
      <c r="C90" s="19" t="s">
        <v>306</v>
      </c>
      <c r="D90" s="19" t="s">
        <v>62</v>
      </c>
      <c r="E90" s="20" t="s">
        <v>63</v>
      </c>
      <c r="F90" s="21">
        <v>42706</v>
      </c>
      <c r="G90" s="21">
        <v>42681</v>
      </c>
      <c r="H90" s="21">
        <v>43410</v>
      </c>
      <c r="I90" s="21">
        <f ca="1">TODAY()</f>
        <v>42874</v>
      </c>
      <c r="J90" s="48">
        <f ca="1">INT((H90-I90)/30)</f>
        <v>17</v>
      </c>
      <c r="K90" s="17" t="s">
        <v>211</v>
      </c>
    </row>
    <row r="91" spans="2:11" ht="19.5" x14ac:dyDescent="0.3">
      <c r="B91" s="18" t="s">
        <v>321</v>
      </c>
      <c r="C91" s="19" t="s">
        <v>306</v>
      </c>
      <c r="D91" s="19" t="s">
        <v>60</v>
      </c>
      <c r="E91" s="20" t="s">
        <v>61</v>
      </c>
      <c r="F91" s="21">
        <v>42706</v>
      </c>
      <c r="G91" s="21">
        <v>42681</v>
      </c>
      <c r="H91" s="21">
        <v>43410</v>
      </c>
      <c r="I91" s="21">
        <f ca="1">TODAY()</f>
        <v>42874</v>
      </c>
      <c r="J91" s="48">
        <f ca="1">INT((H91-I91)/30)</f>
        <v>17</v>
      </c>
      <c r="K91" s="17" t="s">
        <v>211</v>
      </c>
    </row>
    <row r="92" spans="2:11" ht="19.5" x14ac:dyDescent="0.3">
      <c r="B92" s="18" t="s">
        <v>322</v>
      </c>
      <c r="C92" s="19" t="s">
        <v>231</v>
      </c>
      <c r="D92" s="19" t="s">
        <v>70</v>
      </c>
      <c r="E92" s="20" t="s">
        <v>71</v>
      </c>
      <c r="F92" s="21">
        <v>42706</v>
      </c>
      <c r="G92" s="21">
        <v>42681</v>
      </c>
      <c r="H92" s="21">
        <v>43410</v>
      </c>
      <c r="I92" s="21">
        <f ca="1">TODAY()</f>
        <v>42874</v>
      </c>
      <c r="J92" s="48">
        <f ca="1">INT((H92-I92)/30)</f>
        <v>17</v>
      </c>
      <c r="K92" s="17" t="s">
        <v>211</v>
      </c>
    </row>
    <row r="93" spans="2:11" ht="19.5" x14ac:dyDescent="0.3">
      <c r="B93" s="18" t="s">
        <v>234</v>
      </c>
      <c r="C93" s="19" t="s">
        <v>222</v>
      </c>
      <c r="D93" s="19" t="s">
        <v>28</v>
      </c>
      <c r="E93" s="20" t="s">
        <v>29</v>
      </c>
      <c r="F93" s="21">
        <v>42706</v>
      </c>
      <c r="G93" s="21">
        <v>42681</v>
      </c>
      <c r="H93" s="21">
        <v>43410</v>
      </c>
      <c r="I93" s="21">
        <f ca="1">TODAY()</f>
        <v>42874</v>
      </c>
      <c r="J93" s="48">
        <f ca="1">INT((H93-I93)/30)</f>
        <v>17</v>
      </c>
      <c r="K93" s="17" t="s">
        <v>211</v>
      </c>
    </row>
    <row r="94" spans="2:11" ht="19.5" x14ac:dyDescent="0.3">
      <c r="B94" s="18" t="s">
        <v>235</v>
      </c>
      <c r="C94" s="19" t="s">
        <v>236</v>
      </c>
      <c r="D94" s="19" t="s">
        <v>39</v>
      </c>
      <c r="E94" s="20" t="s">
        <v>40</v>
      </c>
      <c r="F94" s="21">
        <v>42706</v>
      </c>
      <c r="G94" s="21">
        <v>42681</v>
      </c>
      <c r="H94" s="21">
        <v>43410</v>
      </c>
      <c r="I94" s="21">
        <f ca="1">TODAY()</f>
        <v>42874</v>
      </c>
      <c r="J94" s="48">
        <f ca="1">INT((H94-I94)/30)</f>
        <v>17</v>
      </c>
      <c r="K94" s="17" t="s">
        <v>211</v>
      </c>
    </row>
    <row r="95" spans="2:11" ht="19.5" x14ac:dyDescent="0.3">
      <c r="B95" s="18" t="s">
        <v>237</v>
      </c>
      <c r="C95" s="19" t="s">
        <v>238</v>
      </c>
      <c r="D95" s="19" t="s">
        <v>164</v>
      </c>
      <c r="E95" s="20" t="s">
        <v>165</v>
      </c>
      <c r="F95" s="21">
        <v>40560</v>
      </c>
      <c r="G95" s="21">
        <v>40560</v>
      </c>
      <c r="H95" s="21">
        <v>43482</v>
      </c>
      <c r="I95" s="21">
        <f ca="1">TODAY()</f>
        <v>42874</v>
      </c>
      <c r="J95" s="48">
        <f ca="1">INT((H95-I95)/30)</f>
        <v>20</v>
      </c>
      <c r="K95" s="17" t="s">
        <v>211</v>
      </c>
    </row>
    <row r="96" spans="2:11" ht="19.5" x14ac:dyDescent="0.3">
      <c r="B96" s="18" t="s">
        <v>239</v>
      </c>
      <c r="C96" s="19" t="s">
        <v>256</v>
      </c>
      <c r="D96" s="19" t="s">
        <v>148</v>
      </c>
      <c r="E96" s="20" t="s">
        <v>149</v>
      </c>
      <c r="F96" s="21">
        <v>40560</v>
      </c>
      <c r="G96" s="21">
        <v>40560</v>
      </c>
      <c r="H96" s="21">
        <v>43482</v>
      </c>
      <c r="I96" s="21">
        <f ca="1">TODAY()</f>
        <v>42874</v>
      </c>
      <c r="J96" s="48">
        <f ca="1">INT((H96-I96)/30)</f>
        <v>20</v>
      </c>
      <c r="K96" s="17" t="s">
        <v>211</v>
      </c>
    </row>
    <row r="97" spans="2:11" ht="19.5" x14ac:dyDescent="0.3">
      <c r="B97" s="18" t="s">
        <v>240</v>
      </c>
      <c r="C97" s="19" t="s">
        <v>256</v>
      </c>
      <c r="D97" s="19" t="s">
        <v>148</v>
      </c>
      <c r="E97" s="20" t="s">
        <v>149</v>
      </c>
      <c r="F97" s="21">
        <v>40560</v>
      </c>
      <c r="G97" s="21">
        <v>40560</v>
      </c>
      <c r="H97" s="21">
        <v>43482</v>
      </c>
      <c r="I97" s="21">
        <f ca="1">TODAY()</f>
        <v>42874</v>
      </c>
      <c r="J97" s="48">
        <f ca="1">INT((H97-I97)/30)</f>
        <v>20</v>
      </c>
      <c r="K97" s="17" t="s">
        <v>211</v>
      </c>
    </row>
    <row r="98" spans="2:11" ht="19.5" x14ac:dyDescent="0.3">
      <c r="B98" s="18" t="s">
        <v>241</v>
      </c>
      <c r="C98" s="19" t="s">
        <v>242</v>
      </c>
      <c r="D98" s="19" t="s">
        <v>78</v>
      </c>
      <c r="E98" s="20" t="s">
        <v>79</v>
      </c>
      <c r="F98" s="21">
        <v>40560</v>
      </c>
      <c r="G98" s="21">
        <v>40560</v>
      </c>
      <c r="H98" s="21">
        <v>43482</v>
      </c>
      <c r="I98" s="21">
        <f ca="1">TODAY()</f>
        <v>42874</v>
      </c>
      <c r="J98" s="48">
        <f ca="1">INT((H98-I98)/30)</f>
        <v>20</v>
      </c>
      <c r="K98" s="17" t="s">
        <v>211</v>
      </c>
    </row>
    <row r="99" spans="2:11" ht="19.5" x14ac:dyDescent="0.3">
      <c r="B99" s="18" t="s">
        <v>241</v>
      </c>
      <c r="C99" s="19" t="s">
        <v>242</v>
      </c>
      <c r="D99" s="19" t="s">
        <v>78</v>
      </c>
      <c r="E99" s="20" t="s">
        <v>79</v>
      </c>
      <c r="F99" s="21">
        <v>40560</v>
      </c>
      <c r="G99" s="21">
        <v>40560</v>
      </c>
      <c r="H99" s="21">
        <v>43482</v>
      </c>
      <c r="I99" s="21">
        <f ca="1">TODAY()</f>
        <v>42874</v>
      </c>
      <c r="J99" s="48">
        <f ca="1">INT((H99-I99)/30)</f>
        <v>20</v>
      </c>
      <c r="K99" s="17" t="s">
        <v>211</v>
      </c>
    </row>
    <row r="100" spans="2:11" ht="19.5" x14ac:dyDescent="0.3">
      <c r="B100" s="18" t="s">
        <v>243</v>
      </c>
      <c r="C100" s="19" t="s">
        <v>242</v>
      </c>
      <c r="D100" s="19" t="s">
        <v>148</v>
      </c>
      <c r="E100" s="20" t="s">
        <v>157</v>
      </c>
      <c r="F100" s="21">
        <v>40560</v>
      </c>
      <c r="G100" s="21">
        <v>40560</v>
      </c>
      <c r="H100" s="21">
        <v>43482</v>
      </c>
      <c r="I100" s="21">
        <f ca="1">TODAY()</f>
        <v>42874</v>
      </c>
      <c r="J100" s="48">
        <f ca="1">INT((H100-I100)/30)</f>
        <v>20</v>
      </c>
      <c r="K100" s="17" t="s">
        <v>211</v>
      </c>
    </row>
    <row r="101" spans="2:11" ht="19.5" x14ac:dyDescent="0.3">
      <c r="B101" s="18" t="s">
        <v>244</v>
      </c>
      <c r="C101" s="19" t="s">
        <v>245</v>
      </c>
      <c r="D101" s="19" t="s">
        <v>80</v>
      </c>
      <c r="E101" s="20" t="s">
        <v>81</v>
      </c>
      <c r="F101" s="21">
        <v>40560</v>
      </c>
      <c r="G101" s="21">
        <v>40560</v>
      </c>
      <c r="H101" s="21">
        <v>43482</v>
      </c>
      <c r="I101" s="21">
        <f ca="1">TODAY()</f>
        <v>42874</v>
      </c>
      <c r="J101" s="48">
        <f ca="1">INT((H101-I101)/30)</f>
        <v>20</v>
      </c>
      <c r="K101" s="17" t="s">
        <v>211</v>
      </c>
    </row>
    <row r="102" spans="2:11" ht="19.5" x14ac:dyDescent="0.3">
      <c r="B102" s="18" t="s">
        <v>244</v>
      </c>
      <c r="C102" s="19" t="s">
        <v>245</v>
      </c>
      <c r="D102" s="19" t="s">
        <v>80</v>
      </c>
      <c r="E102" s="20" t="s">
        <v>81</v>
      </c>
      <c r="F102" s="21">
        <v>40560</v>
      </c>
      <c r="G102" s="21">
        <v>40560</v>
      </c>
      <c r="H102" s="21">
        <v>43482</v>
      </c>
      <c r="I102" s="21">
        <f ca="1">TODAY()</f>
        <v>42874</v>
      </c>
      <c r="J102" s="48">
        <f ca="1">INT((H102-I102)/30)</f>
        <v>20</v>
      </c>
      <c r="K102" s="17" t="s">
        <v>211</v>
      </c>
    </row>
    <row r="103" spans="2:11" ht="19.5" x14ac:dyDescent="0.3">
      <c r="B103" s="18" t="s">
        <v>246</v>
      </c>
      <c r="C103" s="19" t="s">
        <v>245</v>
      </c>
      <c r="D103" s="19" t="s">
        <v>155</v>
      </c>
      <c r="E103" s="20" t="s">
        <v>156</v>
      </c>
      <c r="F103" s="21">
        <v>40560</v>
      </c>
      <c r="G103" s="21">
        <v>40560</v>
      </c>
      <c r="H103" s="21">
        <v>43482</v>
      </c>
      <c r="I103" s="21">
        <f ca="1">TODAY()</f>
        <v>42874</v>
      </c>
      <c r="J103" s="48">
        <f ca="1">INT((H103-I103)/30)</f>
        <v>20</v>
      </c>
      <c r="K103" s="17" t="s">
        <v>211</v>
      </c>
    </row>
    <row r="104" spans="2:11" ht="19.5" x14ac:dyDescent="0.3">
      <c r="B104" s="18" t="s">
        <v>247</v>
      </c>
      <c r="C104" s="19" t="s">
        <v>248</v>
      </c>
      <c r="D104" s="19" t="s">
        <v>141</v>
      </c>
      <c r="E104" s="20" t="s">
        <v>200</v>
      </c>
      <c r="F104" s="21">
        <v>40729</v>
      </c>
      <c r="G104" s="21">
        <v>40729</v>
      </c>
      <c r="H104" s="21">
        <v>43651</v>
      </c>
      <c r="I104" s="21">
        <f ca="1">TODAY()</f>
        <v>42874</v>
      </c>
      <c r="J104" s="48">
        <f ca="1">INT((H104-I104)/30)</f>
        <v>25</v>
      </c>
      <c r="K104" s="17" t="s">
        <v>211</v>
      </c>
    </row>
    <row r="105" spans="2:11" ht="19.5" x14ac:dyDescent="0.3">
      <c r="B105" s="18" t="s">
        <v>249</v>
      </c>
      <c r="C105" s="19" t="s">
        <v>245</v>
      </c>
      <c r="D105" s="19" t="s">
        <v>136</v>
      </c>
      <c r="E105" s="20" t="s">
        <v>137</v>
      </c>
      <c r="F105" s="21">
        <v>41271</v>
      </c>
      <c r="G105" s="21">
        <v>41271</v>
      </c>
      <c r="H105" s="21">
        <v>44193</v>
      </c>
      <c r="I105" s="21">
        <f ca="1">TODAY()</f>
        <v>42874</v>
      </c>
      <c r="J105" s="48">
        <f ca="1">INT((H105-I105)/30)</f>
        <v>43</v>
      </c>
      <c r="K105" s="17" t="s">
        <v>211</v>
      </c>
    </row>
    <row r="106" spans="2:11" ht="19.5" x14ac:dyDescent="0.3">
      <c r="B106" s="24" t="s">
        <v>250</v>
      </c>
      <c r="C106" s="25" t="s">
        <v>245</v>
      </c>
      <c r="D106" s="25" t="s">
        <v>136</v>
      </c>
      <c r="E106" s="26" t="s">
        <v>137</v>
      </c>
      <c r="F106" s="27">
        <v>41271</v>
      </c>
      <c r="G106" s="27">
        <v>41271</v>
      </c>
      <c r="H106" s="27">
        <v>44193</v>
      </c>
      <c r="I106" s="27">
        <f ca="1">TODAY()</f>
        <v>42874</v>
      </c>
      <c r="J106" s="48">
        <f ca="1">INT((H106-I106)/30)</f>
        <v>43</v>
      </c>
      <c r="K106" s="17" t="s">
        <v>211</v>
      </c>
    </row>
    <row r="107" spans="2:11" ht="18.75" customHeight="1" x14ac:dyDescent="0.3">
      <c r="B107" s="24" t="s">
        <v>251</v>
      </c>
      <c r="C107" s="25" t="s">
        <v>242</v>
      </c>
      <c r="D107" s="25" t="s">
        <v>134</v>
      </c>
      <c r="E107" s="26" t="s">
        <v>135</v>
      </c>
      <c r="F107" s="27">
        <v>41271</v>
      </c>
      <c r="G107" s="27">
        <v>41271</v>
      </c>
      <c r="H107" s="27">
        <v>44193</v>
      </c>
      <c r="I107" s="27">
        <f ca="1">TODAY()</f>
        <v>42874</v>
      </c>
      <c r="J107" s="48">
        <f ca="1">INT((H107-I107)/30)</f>
        <v>43</v>
      </c>
      <c r="K107" s="17" t="s">
        <v>211</v>
      </c>
    </row>
    <row r="108" spans="2:11" ht="18.75" customHeight="1" x14ac:dyDescent="0.3">
      <c r="B108" s="24" t="s">
        <v>252</v>
      </c>
      <c r="C108" s="25" t="s">
        <v>242</v>
      </c>
      <c r="D108" s="25" t="s">
        <v>138</v>
      </c>
      <c r="E108" s="26" t="s">
        <v>139</v>
      </c>
      <c r="F108" s="27">
        <v>41271</v>
      </c>
      <c r="G108" s="27">
        <v>41271</v>
      </c>
      <c r="H108" s="27">
        <v>44193</v>
      </c>
      <c r="I108" s="27">
        <f ca="1">TODAY()</f>
        <v>42874</v>
      </c>
      <c r="J108" s="48">
        <f ca="1">INT((H108-I108)/30)</f>
        <v>43</v>
      </c>
      <c r="K108" s="43" t="s">
        <v>211</v>
      </c>
    </row>
    <row r="109" spans="2:11" ht="18.75" customHeight="1" x14ac:dyDescent="0.3">
      <c r="B109" s="24" t="s">
        <v>253</v>
      </c>
      <c r="C109" s="25" t="s">
        <v>242</v>
      </c>
      <c r="D109" s="25" t="s">
        <v>160</v>
      </c>
      <c r="E109" s="26" t="s">
        <v>161</v>
      </c>
      <c r="F109" s="27">
        <v>41271</v>
      </c>
      <c r="G109" s="27">
        <v>41271</v>
      </c>
      <c r="H109" s="27">
        <v>44193</v>
      </c>
      <c r="I109" s="27">
        <f ca="1">TODAY()</f>
        <v>42874</v>
      </c>
      <c r="J109" s="48">
        <f ca="1">INT((H109-I109)/30)</f>
        <v>43</v>
      </c>
      <c r="K109" s="43" t="s">
        <v>211</v>
      </c>
    </row>
    <row r="110" spans="2:11" ht="18.75" customHeight="1" x14ac:dyDescent="0.3">
      <c r="B110" s="24" t="s">
        <v>254</v>
      </c>
      <c r="C110" s="25" t="s">
        <v>256</v>
      </c>
      <c r="D110" s="25" t="s">
        <v>153</v>
      </c>
      <c r="E110" s="26" t="s">
        <v>154</v>
      </c>
      <c r="F110" s="27">
        <v>41271</v>
      </c>
      <c r="G110" s="27">
        <v>41271</v>
      </c>
      <c r="H110" s="27">
        <v>44193</v>
      </c>
      <c r="I110" s="27">
        <f ca="1">TODAY()</f>
        <v>42874</v>
      </c>
      <c r="J110" s="48">
        <f ca="1">INT((H110-I110)/30)</f>
        <v>43</v>
      </c>
      <c r="K110" s="43" t="s">
        <v>211</v>
      </c>
    </row>
    <row r="111" spans="2:11" ht="18.75" customHeight="1" x14ac:dyDescent="0.3">
      <c r="B111" s="24" t="s">
        <v>255</v>
      </c>
      <c r="C111" s="25" t="s">
        <v>255</v>
      </c>
      <c r="D111" s="25" t="s">
        <v>190</v>
      </c>
      <c r="E111" s="26" t="s">
        <v>191</v>
      </c>
      <c r="F111" s="27">
        <v>41355</v>
      </c>
      <c r="G111" s="27">
        <v>41355</v>
      </c>
      <c r="H111" s="27">
        <v>44277</v>
      </c>
      <c r="I111" s="27">
        <f ca="1">TODAY()</f>
        <v>42874</v>
      </c>
      <c r="J111" s="48">
        <f ca="1">INT((H111-I111)/30)</f>
        <v>46</v>
      </c>
      <c r="K111" s="43" t="s">
        <v>213</v>
      </c>
    </row>
    <row r="112" spans="2:11" ht="18.75" customHeight="1" x14ac:dyDescent="0.3">
      <c r="B112" s="24" t="s">
        <v>233</v>
      </c>
      <c r="C112" s="25" t="s">
        <v>248</v>
      </c>
      <c r="D112" s="25" t="s">
        <v>143</v>
      </c>
      <c r="E112" s="26" t="s">
        <v>144</v>
      </c>
      <c r="F112" s="27">
        <v>41617</v>
      </c>
      <c r="G112" s="27">
        <v>41617</v>
      </c>
      <c r="H112" s="27">
        <v>44539</v>
      </c>
      <c r="I112" s="27">
        <f ca="1">TODAY()</f>
        <v>42874</v>
      </c>
      <c r="J112" s="48">
        <f ca="1">INT((H112-I112)/30)</f>
        <v>55</v>
      </c>
      <c r="K112" s="43" t="s">
        <v>211</v>
      </c>
    </row>
    <row r="113" spans="2:11" ht="19.5" thickBot="1" x14ac:dyDescent="0.3">
      <c r="B113" s="40" t="s">
        <v>218</v>
      </c>
      <c r="C113" s="41"/>
      <c r="D113" s="41"/>
      <c r="E113" s="41"/>
      <c r="F113" s="41"/>
      <c r="G113" s="41"/>
      <c r="H113" s="41"/>
      <c r="I113" s="41"/>
      <c r="J113" s="41"/>
      <c r="K113" s="42"/>
    </row>
  </sheetData>
  <autoFilter ref="B2:J3">
    <filterColumn colId="5" showButton="0"/>
    <sortState ref="B5:J111">
      <sortCondition ref="J2:J3"/>
    </sortState>
  </autoFilter>
  <sortState ref="B5:K112">
    <sortCondition ref="J2"/>
  </sortState>
  <mergeCells count="10">
    <mergeCell ref="K2:K3"/>
    <mergeCell ref="B1:J1"/>
    <mergeCell ref="B2:B3"/>
    <mergeCell ref="I2:I3"/>
    <mergeCell ref="J2:J3"/>
    <mergeCell ref="C2:C3"/>
    <mergeCell ref="G2:H2"/>
    <mergeCell ref="D2:D3"/>
    <mergeCell ref="E2:E3"/>
    <mergeCell ref="F2:F3"/>
  </mergeCells>
  <phoneticPr fontId="1" type="noConversion"/>
  <conditionalFormatting sqref="L1:L1048576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输入内容错误" error="请输入“是”或“否”。" sqref="K114:K1048576 K1:K112">
      <formula1>$L$2:$L$3</formula1>
    </dataValidation>
  </dataValidations>
  <hyperlinks>
    <hyperlink ref="B73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4"/>
  <sheetViews>
    <sheetView workbookViewId="0">
      <selection activeCell="D4" sqref="D4"/>
    </sheetView>
  </sheetViews>
  <sheetFormatPr defaultRowHeight="14.25" x14ac:dyDescent="0.2"/>
  <cols>
    <col min="1" max="1" width="3" customWidth="1"/>
    <col min="2" max="2" width="14.625" bestFit="1" customWidth="1"/>
    <col min="3" max="3" width="31.875" bestFit="1" customWidth="1"/>
    <col min="4" max="4" width="14.625" bestFit="1" customWidth="1"/>
    <col min="5" max="5" width="17.25" bestFit="1" customWidth="1"/>
    <col min="6" max="9" width="14.625" bestFit="1" customWidth="1"/>
    <col min="10" max="10" width="24.75" bestFit="1" customWidth="1"/>
    <col min="11" max="11" width="31.625" bestFit="1" customWidth="1"/>
  </cols>
  <sheetData>
    <row r="1" spans="2:11" ht="36" customHeight="1" thickBot="1" x14ac:dyDescent="0.45">
      <c r="B1" s="64" t="s">
        <v>196</v>
      </c>
      <c r="C1" s="64"/>
      <c r="D1" s="64"/>
      <c r="E1" s="64"/>
      <c r="F1" s="64"/>
      <c r="G1" s="64"/>
      <c r="H1" s="64"/>
      <c r="I1" s="64"/>
      <c r="J1" s="64"/>
      <c r="K1" s="64"/>
    </row>
    <row r="2" spans="2:11" ht="20.25" x14ac:dyDescent="0.2">
      <c r="B2" s="65" t="s">
        <v>193</v>
      </c>
      <c r="C2" s="67" t="s">
        <v>192</v>
      </c>
      <c r="D2" s="69" t="s">
        <v>30</v>
      </c>
      <c r="E2" s="67" t="s">
        <v>194</v>
      </c>
      <c r="F2" s="69" t="s">
        <v>31</v>
      </c>
      <c r="G2" s="69" t="s">
        <v>32</v>
      </c>
      <c r="H2" s="69"/>
      <c r="I2" s="69" t="s">
        <v>33</v>
      </c>
      <c r="J2" s="1" t="s">
        <v>34</v>
      </c>
      <c r="K2" s="70" t="s">
        <v>35</v>
      </c>
    </row>
    <row r="3" spans="2:11" ht="20.25" x14ac:dyDescent="0.2">
      <c r="B3" s="66"/>
      <c r="C3" s="68"/>
      <c r="D3" s="68"/>
      <c r="E3" s="68"/>
      <c r="F3" s="68"/>
      <c r="G3" s="3" t="s">
        <v>36</v>
      </c>
      <c r="H3" s="3" t="s">
        <v>37</v>
      </c>
      <c r="I3" s="68"/>
      <c r="J3" s="2"/>
      <c r="K3" s="71"/>
    </row>
    <row r="4" spans="2:11" x14ac:dyDescent="0.2">
      <c r="B4" t="s">
        <v>197</v>
      </c>
      <c r="C4" t="s">
        <v>198</v>
      </c>
      <c r="E4" t="s">
        <v>199</v>
      </c>
      <c r="G4" s="4">
        <v>41217</v>
      </c>
      <c r="H4" s="4">
        <v>43473</v>
      </c>
      <c r="I4" s="4">
        <f ca="1">TODAY()</f>
        <v>42874</v>
      </c>
      <c r="J4">
        <f ca="1">INT(-I4+H4)</f>
        <v>599</v>
      </c>
      <c r="K4">
        <f ca="1">INT(J4/30)</f>
        <v>19</v>
      </c>
    </row>
  </sheetData>
  <mergeCells count="9">
    <mergeCell ref="B1:K1"/>
    <mergeCell ref="B2:B3"/>
    <mergeCell ref="C2:C3"/>
    <mergeCell ref="D2:D3"/>
    <mergeCell ref="E2:E3"/>
    <mergeCell ref="F2:F3"/>
    <mergeCell ref="G2:H2"/>
    <mergeCell ref="I2:I3"/>
    <mergeCell ref="K2:K3"/>
  </mergeCells>
  <phoneticPr fontId="1" type="noConversion"/>
  <conditionalFormatting sqref="M1:M3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K2">
    <cfRule type="colorScale" priority="1">
      <colorScale>
        <cfvo type="num" val="0"/>
        <cfvo type="num" val="9"/>
        <cfvo type="num" val="12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CAAC证书</vt:lpstr>
      <vt:lpstr>FAA证书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2017-05-19T07:32:15Z</dcterms:modified>
</cp:coreProperties>
</file>