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 activeTab="2"/>
  </bookViews>
  <sheets>
    <sheet name="CAAC证书" sheetId="1" r:id="rId1"/>
    <sheet name="FAA证书" sheetId="4" r:id="rId2"/>
    <sheet name="ICAO证书" sheetId="5" r:id="rId3"/>
  </sheets>
  <definedNames>
    <definedName name="_xlnm._FilterDatabase" localSheetId="0" hidden="1">CAAC证书!$B$2:$P$3</definedName>
    <definedName name="_xlnm._FilterDatabase" localSheetId="1" hidden="1">FAA证书!$B$2:$P$3</definedName>
    <definedName name="_xlnm._FilterDatabase" localSheetId="2" hidden="1">ICAO证书!$B$2:$P$3</definedName>
    <definedName name="_xlnm.Print_Titles" localSheetId="2">ICAO证书!$1:$3</definedName>
  </definedNames>
  <calcPr calcId="144525"/>
</workbook>
</file>

<file path=xl/calcChain.xml><?xml version="1.0" encoding="utf-8"?>
<calcChain xmlns="http://schemas.openxmlformats.org/spreadsheetml/2006/main">
  <c r="M80" i="5" l="1"/>
  <c r="N80" i="5" s="1"/>
  <c r="M79" i="5"/>
  <c r="N79" i="5" s="1"/>
  <c r="M78" i="5"/>
  <c r="N78" i="5" s="1"/>
  <c r="M77" i="5"/>
  <c r="N77" i="5" s="1"/>
  <c r="M58" i="4"/>
  <c r="N58" i="4" s="1"/>
  <c r="M57" i="4"/>
  <c r="N57" i="4" s="1"/>
  <c r="M56" i="4"/>
  <c r="N56" i="4" s="1"/>
  <c r="M55" i="4"/>
  <c r="N55" i="4" s="1"/>
  <c r="M54" i="4"/>
  <c r="N54" i="4" s="1"/>
  <c r="M53" i="4"/>
  <c r="N53" i="4" s="1"/>
  <c r="M52" i="4"/>
  <c r="N52" i="4" s="1"/>
  <c r="M112" i="1"/>
  <c r="N112" i="1" s="1"/>
  <c r="M111" i="1"/>
  <c r="N111" i="1" s="1"/>
  <c r="M5" i="1" l="1"/>
  <c r="N5" i="1" s="1"/>
  <c r="M46" i="5" l="1"/>
  <c r="N46" i="5" s="1"/>
  <c r="M55" i="5"/>
  <c r="N55" i="5" s="1"/>
  <c r="M58" i="5"/>
  <c r="N58" i="5" s="1"/>
  <c r="M61" i="5"/>
  <c r="N61" i="5" s="1"/>
  <c r="M4" i="5"/>
  <c r="N4" i="5" s="1"/>
  <c r="M9" i="5"/>
  <c r="N9" i="5" s="1"/>
  <c r="M27" i="5"/>
  <c r="N27" i="5" s="1"/>
  <c r="M32" i="5"/>
  <c r="N32" i="5" s="1"/>
  <c r="M36" i="5"/>
  <c r="N36" i="5" s="1"/>
  <c r="M5" i="5"/>
  <c r="N5" i="5" s="1"/>
  <c r="M8" i="5"/>
  <c r="N8" i="5" s="1"/>
  <c r="M6" i="5"/>
  <c r="N6" i="5" s="1"/>
  <c r="M7" i="5"/>
  <c r="N7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9" i="5"/>
  <c r="N19" i="5" s="1"/>
  <c r="M16" i="5"/>
  <c r="N16" i="5" s="1"/>
  <c r="M17" i="5"/>
  <c r="N17" i="5" s="1"/>
  <c r="M18" i="5"/>
  <c r="N18" i="5" s="1"/>
  <c r="M21" i="5"/>
  <c r="N21" i="5" s="1"/>
  <c r="M22" i="5"/>
  <c r="N22" i="5" s="1"/>
  <c r="M23" i="5"/>
  <c r="N23" i="5" s="1"/>
  <c r="M24" i="5"/>
  <c r="N24" i="5" s="1"/>
  <c r="M25" i="5"/>
  <c r="N25" i="5" s="1"/>
  <c r="M26" i="5"/>
  <c r="N26" i="5" s="1"/>
  <c r="M28" i="5"/>
  <c r="N28" i="5" s="1"/>
  <c r="M29" i="5"/>
  <c r="N29" i="5" s="1"/>
  <c r="M30" i="5"/>
  <c r="N30" i="5" s="1"/>
  <c r="M31" i="5"/>
  <c r="N31" i="5" s="1"/>
  <c r="M33" i="5"/>
  <c r="N33" i="5" s="1"/>
  <c r="M34" i="5"/>
  <c r="N34" i="5" s="1"/>
  <c r="M35" i="5"/>
  <c r="N35" i="5" s="1"/>
  <c r="M37" i="5"/>
  <c r="N37" i="5" s="1"/>
  <c r="M38" i="5"/>
  <c r="N38" i="5" s="1"/>
  <c r="M39" i="5"/>
  <c r="N39" i="5" s="1"/>
  <c r="M40" i="5"/>
  <c r="N40" i="5" s="1"/>
  <c r="M41" i="5"/>
  <c r="N41" i="5" s="1"/>
  <c r="M59" i="5"/>
  <c r="N59" i="5" s="1"/>
  <c r="M60" i="5"/>
  <c r="N60" i="5" s="1"/>
  <c r="M62" i="5"/>
  <c r="N62" i="5" s="1"/>
  <c r="M42" i="5"/>
  <c r="N42" i="5" s="1"/>
  <c r="M20" i="5"/>
  <c r="N20" i="5" s="1"/>
  <c r="M43" i="5"/>
  <c r="N43" i="5" s="1"/>
  <c r="M47" i="5"/>
  <c r="N47" i="5" s="1"/>
  <c r="M48" i="5"/>
  <c r="N48" i="5" s="1"/>
  <c r="M49" i="5"/>
  <c r="N49" i="5" s="1"/>
  <c r="M50" i="5"/>
  <c r="N50" i="5" s="1"/>
  <c r="M51" i="5"/>
  <c r="N51" i="5" s="1"/>
  <c r="M52" i="5"/>
  <c r="N52" i="5" s="1"/>
  <c r="M53" i="5"/>
  <c r="N53" i="5" s="1"/>
  <c r="M44" i="5"/>
  <c r="N44" i="5" s="1"/>
  <c r="M54" i="5"/>
  <c r="N54" i="5" s="1"/>
  <c r="M56" i="5"/>
  <c r="N56" i="5" s="1"/>
  <c r="M57" i="5"/>
  <c r="N57" i="5" s="1"/>
  <c r="M63" i="5"/>
  <c r="N63" i="5" s="1"/>
  <c r="M64" i="5"/>
  <c r="N64" i="5" s="1"/>
  <c r="M65" i="5"/>
  <c r="N65" i="5" s="1"/>
  <c r="M66" i="5"/>
  <c r="N66" i="5" s="1"/>
  <c r="M67" i="5"/>
  <c r="N67" i="5" s="1"/>
  <c r="M68" i="5"/>
  <c r="N68" i="5" s="1"/>
  <c r="M69" i="5"/>
  <c r="N69" i="5" s="1"/>
  <c r="M70" i="5"/>
  <c r="N70" i="5" s="1"/>
  <c r="M71" i="5"/>
  <c r="N71" i="5" s="1"/>
  <c r="M72" i="5"/>
  <c r="N72" i="5" s="1"/>
  <c r="M26" i="4" l="1"/>
  <c r="N26" i="4" s="1"/>
  <c r="M27" i="4"/>
  <c r="N27" i="4" s="1"/>
  <c r="M28" i="4"/>
  <c r="N28" i="4" s="1"/>
  <c r="M29" i="4"/>
  <c r="N29" i="4" s="1"/>
  <c r="M30" i="4"/>
  <c r="N30" i="4" s="1"/>
  <c r="M31" i="4"/>
  <c r="N31" i="4" s="1"/>
  <c r="M41" i="4"/>
  <c r="N41" i="4" s="1"/>
  <c r="M33" i="4"/>
  <c r="N33" i="4" s="1"/>
  <c r="M34" i="4"/>
  <c r="N34" i="4" s="1"/>
  <c r="M35" i="4"/>
  <c r="N35" i="4" s="1"/>
  <c r="M36" i="4"/>
  <c r="N36" i="4" s="1"/>
  <c r="M37" i="4"/>
  <c r="N37" i="4" s="1"/>
  <c r="M38" i="4"/>
  <c r="N38" i="4" s="1"/>
  <c r="M39" i="4"/>
  <c r="N39" i="4" s="1"/>
  <c r="M40" i="4"/>
  <c r="N40" i="4" s="1"/>
  <c r="M45" i="4"/>
  <c r="N45" i="4" s="1"/>
  <c r="M46" i="4"/>
  <c r="N46" i="4" s="1"/>
  <c r="M44" i="4"/>
  <c r="N44" i="4" s="1"/>
  <c r="M47" i="4"/>
  <c r="N47" i="4" s="1"/>
  <c r="M42" i="4"/>
  <c r="N42" i="4" s="1"/>
  <c r="M43" i="4"/>
  <c r="N43" i="4" s="1"/>
  <c r="M4" i="4"/>
  <c r="N4" i="4" s="1"/>
  <c r="M5" i="4"/>
  <c r="N5" i="4" s="1"/>
  <c r="M6" i="4"/>
  <c r="N6" i="4" s="1"/>
  <c r="M7" i="4"/>
  <c r="N7" i="4" s="1"/>
  <c r="M8" i="4"/>
  <c r="N8" i="4" s="1"/>
  <c r="M32" i="4"/>
  <c r="N32" i="4" s="1"/>
  <c r="M9" i="4"/>
  <c r="N9" i="4" s="1"/>
  <c r="M10" i="4"/>
  <c r="N10" i="4" s="1"/>
  <c r="M11" i="4"/>
  <c r="N11" i="4" s="1"/>
  <c r="M12" i="4"/>
  <c r="N12" i="4" s="1"/>
  <c r="M13" i="4"/>
  <c r="N13" i="4" s="1"/>
  <c r="M14" i="4"/>
  <c r="N14" i="4" s="1"/>
  <c r="M15" i="4"/>
  <c r="N15" i="4" s="1"/>
  <c r="M16" i="4"/>
  <c r="N16" i="4" s="1"/>
  <c r="M17" i="4"/>
  <c r="N17" i="4" s="1"/>
  <c r="M18" i="4"/>
  <c r="N18" i="4" s="1"/>
  <c r="M22" i="4"/>
  <c r="N22" i="4" s="1"/>
  <c r="M23" i="4"/>
  <c r="N23" i="4" s="1"/>
  <c r="M24" i="4"/>
  <c r="N24" i="4" s="1"/>
  <c r="M19" i="4"/>
  <c r="N19" i="4" s="1"/>
  <c r="M20" i="4"/>
  <c r="N20" i="4" s="1"/>
  <c r="M21" i="4"/>
  <c r="N21" i="4" s="1"/>
  <c r="M38" i="1" l="1"/>
  <c r="N38" i="1" s="1"/>
  <c r="M103" i="1"/>
  <c r="N103" i="1" s="1"/>
  <c r="M104" i="1"/>
  <c r="N104" i="1" s="1"/>
  <c r="M105" i="1"/>
  <c r="N105" i="1" s="1"/>
  <c r="M45" i="5" l="1"/>
  <c r="N45" i="5" s="1"/>
  <c r="M25" i="4"/>
  <c r="N25" i="4" s="1"/>
  <c r="M82" i="1" l="1"/>
  <c r="N82" i="1" s="1"/>
  <c r="M78" i="1" l="1"/>
  <c r="N78" i="1" s="1"/>
  <c r="M75" i="1" l="1"/>
  <c r="M76" i="1"/>
  <c r="M79" i="1"/>
  <c r="M77" i="1"/>
  <c r="M42" i="1"/>
  <c r="M80" i="1"/>
  <c r="M81" i="1"/>
  <c r="M83" i="1"/>
  <c r="M84" i="1"/>
  <c r="M85" i="1"/>
  <c r="M86" i="1"/>
  <c r="M87" i="1"/>
  <c r="M88" i="1"/>
  <c r="M89" i="1"/>
  <c r="M90" i="1"/>
  <c r="N90" i="1" s="1"/>
  <c r="M91" i="1"/>
  <c r="N91" i="1" s="1"/>
  <c r="M100" i="1"/>
  <c r="M99" i="1"/>
  <c r="M98" i="1"/>
  <c r="M96" i="1"/>
  <c r="M97" i="1"/>
  <c r="M95" i="1"/>
  <c r="M93" i="1"/>
  <c r="M94" i="1"/>
  <c r="M92" i="1"/>
  <c r="M101" i="1"/>
  <c r="M102" i="1"/>
  <c r="M106" i="1"/>
  <c r="N106" i="1" s="1"/>
  <c r="M44" i="1"/>
  <c r="M43" i="1"/>
  <c r="M71" i="1"/>
  <c r="M72" i="1"/>
  <c r="M73" i="1"/>
  <c r="M74" i="1"/>
  <c r="N44" i="1" l="1"/>
  <c r="N81" i="1"/>
  <c r="N73" i="1"/>
  <c r="N92" i="1"/>
  <c r="N97" i="1"/>
  <c r="N100" i="1"/>
  <c r="N88" i="1"/>
  <c r="N84" i="1"/>
  <c r="N80" i="1"/>
  <c r="N79" i="1"/>
  <c r="N75" i="1"/>
  <c r="N72" i="1"/>
  <c r="N43" i="1"/>
  <c r="N94" i="1"/>
  <c r="N96" i="1"/>
  <c r="N87" i="1"/>
  <c r="N83" i="1"/>
  <c r="N74" i="1"/>
  <c r="N71" i="1"/>
  <c r="N102" i="1"/>
  <c r="N93" i="1"/>
  <c r="N98" i="1"/>
  <c r="N86" i="1"/>
  <c r="N42" i="1"/>
  <c r="N101" i="1"/>
  <c r="N95" i="1"/>
  <c r="N99" i="1"/>
  <c r="N89" i="1"/>
  <c r="N85" i="1"/>
  <c r="N77" i="1"/>
  <c r="N76" i="1"/>
  <c r="M49" i="1"/>
  <c r="M45" i="1"/>
  <c r="M46" i="1"/>
  <c r="M48" i="1"/>
  <c r="M47" i="1"/>
  <c r="M50" i="1"/>
  <c r="M51" i="1"/>
  <c r="M52" i="1"/>
  <c r="M53" i="1"/>
  <c r="M57" i="1"/>
  <c r="M56" i="1"/>
  <c r="M55" i="1"/>
  <c r="M54" i="1"/>
  <c r="M36" i="1"/>
  <c r="M37" i="1"/>
  <c r="M39" i="1"/>
  <c r="M40" i="1"/>
  <c r="M41" i="1"/>
  <c r="M58" i="1"/>
  <c r="M59" i="1"/>
  <c r="M60" i="1"/>
  <c r="M62" i="1"/>
  <c r="M61" i="1"/>
  <c r="M66" i="1"/>
  <c r="M64" i="1"/>
  <c r="M63" i="1"/>
  <c r="M65" i="1"/>
  <c r="M70" i="1"/>
  <c r="M69" i="1"/>
  <c r="M68" i="1"/>
  <c r="M67" i="1"/>
  <c r="N69" i="1" l="1"/>
  <c r="N60" i="1"/>
  <c r="N36" i="1"/>
  <c r="N57" i="1"/>
  <c r="N45" i="1"/>
  <c r="N70" i="1"/>
  <c r="N66" i="1"/>
  <c r="N59" i="1"/>
  <c r="N40" i="1"/>
  <c r="N54" i="1"/>
  <c r="N53" i="1"/>
  <c r="N47" i="1"/>
  <c r="N49" i="1"/>
  <c r="N65" i="1"/>
  <c r="N58" i="1"/>
  <c r="N52" i="1"/>
  <c r="N67" i="1"/>
  <c r="N61" i="1"/>
  <c r="N39" i="1"/>
  <c r="N55" i="1"/>
  <c r="N48" i="1"/>
  <c r="N68" i="1"/>
  <c r="N63" i="1"/>
  <c r="N62" i="1"/>
  <c r="N37" i="1"/>
  <c r="N56" i="1"/>
  <c r="N51" i="1"/>
  <c r="N46" i="1"/>
  <c r="N64" i="1"/>
  <c r="N41" i="1"/>
  <c r="N50" i="1"/>
  <c r="M20" i="1"/>
  <c r="M22" i="1"/>
  <c r="M23" i="1"/>
  <c r="M21" i="1"/>
  <c r="M24" i="1"/>
  <c r="M25" i="1"/>
  <c r="M26" i="1"/>
  <c r="M27" i="1"/>
  <c r="M28" i="1"/>
  <c r="M29" i="1"/>
  <c r="M30" i="1"/>
  <c r="M31" i="1"/>
  <c r="M32" i="1"/>
  <c r="M33" i="1"/>
  <c r="M34" i="1"/>
  <c r="M35" i="1"/>
  <c r="M19" i="1"/>
  <c r="N19" i="1" l="1"/>
  <c r="N28" i="1"/>
  <c r="N24" i="1"/>
  <c r="N35" i="1"/>
  <c r="N31" i="1"/>
  <c r="N27" i="1"/>
  <c r="N21" i="1"/>
  <c r="N30" i="1"/>
  <c r="N23" i="1"/>
  <c r="N34" i="1"/>
  <c r="N26" i="1"/>
  <c r="N33" i="1"/>
  <c r="N29" i="1"/>
  <c r="N25" i="1"/>
  <c r="N22" i="1"/>
  <c r="N32" i="1"/>
  <c r="N20" i="1"/>
  <c r="M13" i="1"/>
  <c r="M12" i="1"/>
  <c r="M14" i="1"/>
  <c r="M15" i="1"/>
  <c r="M17" i="1"/>
  <c r="M16" i="1"/>
  <c r="M18" i="1"/>
  <c r="M7" i="1"/>
  <c r="M8" i="1"/>
  <c r="M9" i="1"/>
  <c r="M10" i="1"/>
  <c r="M11" i="1"/>
  <c r="N18" i="1" l="1"/>
  <c r="N9" i="1"/>
  <c r="N16" i="1"/>
  <c r="N12" i="1"/>
  <c r="N8" i="1"/>
  <c r="N10" i="1"/>
  <c r="N17" i="1"/>
  <c r="N13" i="1"/>
  <c r="N11" i="1"/>
  <c r="N7" i="1"/>
  <c r="N15" i="1"/>
  <c r="N14" i="1"/>
  <c r="M6" i="1"/>
  <c r="M4" i="1"/>
  <c r="N4" i="1" l="1"/>
  <c r="N6" i="1"/>
</calcChain>
</file>

<file path=xl/sharedStrings.xml><?xml version="1.0" encoding="utf-8"?>
<sst xmlns="http://schemas.openxmlformats.org/spreadsheetml/2006/main" count="1491" uniqueCount="532">
  <si>
    <t>EUL-AP</t>
    <phoneticPr fontId="1" type="noConversion"/>
  </si>
  <si>
    <t>VA16-249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</si>
  <si>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</si>
  <si>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</si>
  <si>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</si>
  <si>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</si>
  <si>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</si>
  <si>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</si>
  <si>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</si>
  <si>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</si>
  <si>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</si>
  <si>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</si>
  <si>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</si>
  <si>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</si>
  <si>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</si>
  <si>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</si>
  <si>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</si>
  <si>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</si>
  <si>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</si>
  <si>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</si>
  <si>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</si>
  <si>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</si>
  <si>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</si>
  <si>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</si>
  <si>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</si>
  <si>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</si>
  <si>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</si>
  <si>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</si>
  <si>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</si>
  <si>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</si>
  <si>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</si>
  <si>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</si>
  <si>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</si>
  <si>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</si>
  <si>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</si>
  <si>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</si>
  <si>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</si>
  <si>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</si>
  <si>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</si>
  <si>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</si>
  <si>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</si>
  <si>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</si>
  <si>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</si>
  <si>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</si>
  <si>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</si>
  <si>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</si>
  <si>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</si>
  <si>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</si>
  <si>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</si>
  <si>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</si>
  <si>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</si>
  <si>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</si>
  <si>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</si>
  <si>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</si>
  <si>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</si>
  <si>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</si>
  <si>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</si>
  <si>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</si>
  <si>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</si>
  <si>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</si>
  <si>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</si>
  <si>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</si>
  <si>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</si>
  <si>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</si>
  <si>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</si>
  <si>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LF11R004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</si>
  <si>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</si>
  <si>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</si>
  <si>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</si>
  <si>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</si>
  <si>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</si>
  <si>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</si>
  <si>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</si>
  <si>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</si>
  <si>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</si>
  <si>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</si>
  <si>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</si>
  <si>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</si>
  <si>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</si>
  <si>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</si>
  <si>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</si>
  <si>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</si>
  <si>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</si>
  <si>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</si>
  <si>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</si>
  <si>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</si>
  <si>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</si>
  <si>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</si>
  <si>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</si>
  <si>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</si>
  <si>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</si>
  <si>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</si>
  <si>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</si>
  <si>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</si>
  <si>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</si>
  <si>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</si>
  <si>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</si>
  <si>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</si>
  <si>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</si>
  <si>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</si>
  <si>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</si>
  <si>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</si>
  <si>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</si>
  <si>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</si>
  <si>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</si>
  <si>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</si>
  <si>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</si>
  <si>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</si>
  <si>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</si>
  <si>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</si>
  <si>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</si>
  <si>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</si>
  <si>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</si>
  <si>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</si>
  <si>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</si>
  <si>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</si>
  <si>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</si>
  <si>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</si>
  <si>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</si>
  <si>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LF12R100</t>
    <phoneticPr fontId="1" type="noConversion"/>
  </si>
  <si>
    <t>VA15-121</t>
    <phoneticPr fontId="1" type="noConversion"/>
  </si>
  <si>
    <t>VA15-009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</si>
  <si>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</si>
  <si>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</si>
  <si>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</si>
  <si>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</si>
  <si>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</si>
  <si>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</si>
  <si>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</si>
  <si>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</si>
  <si>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</si>
  <si>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</si>
  <si>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</si>
  <si>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TPLMS-08-S-LED-YB</t>
    <phoneticPr fontId="1" type="noConversion"/>
  </si>
  <si>
    <t>VA15-120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</si>
  <si>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</si>
  <si>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</si>
  <si>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</si>
  <si>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</si>
  <si>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</si>
  <si>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</si>
  <si>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</si>
  <si>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</si>
  <si>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</si>
  <si>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</si>
  <si>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</si>
  <si>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</si>
  <si>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</si>
  <si>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</si>
  <si>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</si>
  <si>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</si>
  <si>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</si>
  <si>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</si>
  <si>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</si>
  <si>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</si>
  <si>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</si>
  <si>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</si>
  <si>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</si>
  <si>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</si>
  <si>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</si>
  <si>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</si>
  <si>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LF11R051</t>
  </si>
  <si>
    <t>ETEL-R</t>
    <phoneticPr fontId="1" type="noConversion"/>
  </si>
  <si>
    <t>Y/N</t>
    <phoneticPr fontId="1" type="noConversion"/>
  </si>
  <si>
    <t>Y</t>
  </si>
  <si>
    <t>N</t>
  </si>
  <si>
    <t>Y</t>
    <phoneticPr fontId="1" type="noConversion"/>
  </si>
  <si>
    <t>N</t>
    <phoneticPr fontId="1" type="noConversion"/>
  </si>
  <si>
    <t>08404933</t>
    <phoneticPr fontId="1" type="noConversion"/>
  </si>
  <si>
    <t>08404838</t>
    <phoneticPr fontId="1" type="noConversion"/>
  </si>
  <si>
    <t>VA17-154</t>
    <phoneticPr fontId="1" type="noConversion"/>
  </si>
  <si>
    <t>EUL-RG-LED</t>
    <phoneticPr fontId="1" type="noConversion"/>
  </si>
  <si>
    <t>Y</t>
    <phoneticPr fontId="1" type="noConversion"/>
  </si>
  <si>
    <t>08404934</t>
    <phoneticPr fontId="1" type="noConversion"/>
  </si>
  <si>
    <t>ES13R004</t>
    <phoneticPr fontId="1" type="noConversion"/>
  </si>
  <si>
    <t>08404906</t>
    <phoneticPr fontId="1" type="noConversion"/>
  </si>
  <si>
    <t>Y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</si>
  <si>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</si>
  <si>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</si>
  <si>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</si>
  <si>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</si>
  <si>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 xml:space="preserve">   剩余时间小于0：红色</t>
    <phoneticPr fontId="1" type="noConversion"/>
  </si>
  <si>
    <t>100441792CRT-001</t>
    <phoneticPr fontId="1" type="noConversion"/>
  </si>
  <si>
    <t>.</t>
  </si>
  <si>
    <t>.</t>
    <phoneticPr fontId="1" type="noConversion"/>
  </si>
  <si>
    <t>3150398CRT-001</t>
    <phoneticPr fontId="1" type="noConversion"/>
  </si>
  <si>
    <t>100894929CRT-005</t>
    <phoneticPr fontId="1" type="noConversion"/>
  </si>
  <si>
    <t>隔离变压器</t>
    <phoneticPr fontId="1" type="noConversion"/>
  </si>
  <si>
    <t>141200052SHA-001</t>
    <phoneticPr fontId="1" type="noConversion"/>
  </si>
  <si>
    <t>TGSL-H</t>
    <phoneticPr fontId="1" type="noConversion"/>
  </si>
  <si>
    <t>140501304SHA-001</t>
    <phoneticPr fontId="1" type="noConversion"/>
  </si>
  <si>
    <t>SB-08</t>
    <phoneticPr fontId="1" type="noConversion"/>
  </si>
  <si>
    <t>CP-08</t>
    <phoneticPr fontId="1" type="noConversion"/>
  </si>
  <si>
    <t>SB-12</t>
    <phoneticPr fontId="1" type="noConversion"/>
  </si>
  <si>
    <t>AR-12/08</t>
    <phoneticPr fontId="1" type="noConversion"/>
  </si>
  <si>
    <t>DB-12</t>
    <phoneticPr fontId="1" type="noConversion"/>
  </si>
  <si>
    <t>CP-12</t>
    <phoneticPr fontId="1" type="noConversion"/>
  </si>
  <si>
    <t>150700292HZH-001</t>
    <phoneticPr fontId="1" type="noConversion"/>
  </si>
  <si>
    <t>100894866CRT-034</t>
    <phoneticPr fontId="1" type="noConversion"/>
  </si>
  <si>
    <t>END-12</t>
    <phoneticPr fontId="1" type="noConversion"/>
  </si>
  <si>
    <t>Y</t>
    <phoneticPr fontId="1" type="noConversion"/>
  </si>
  <si>
    <t>TCLM-08</t>
    <phoneticPr fontId="1" type="noConversion"/>
  </si>
  <si>
    <t>TOL-08</t>
    <phoneticPr fontId="1" type="noConversion"/>
  </si>
  <si>
    <t>DTCLM-08-S</t>
    <phoneticPr fontId="1" type="noConversion"/>
  </si>
  <si>
    <t>THWS-12-R-LED-G-M</t>
    <phoneticPr fontId="1" type="noConversion"/>
  </si>
  <si>
    <t>END-12-105-R</t>
    <phoneticPr fontId="1" type="noConversion"/>
  </si>
  <si>
    <t>TCLM-08</t>
    <phoneticPr fontId="1" type="noConversion"/>
  </si>
  <si>
    <t>ITF-150-6.6/6.6</t>
    <phoneticPr fontId="1" type="noConversion"/>
  </si>
  <si>
    <t>VR16-034</t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</si>
  <si>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</si>
  <si>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t>TCLMS-08-S-LED-YY</t>
    <phoneticPr fontId="1" type="noConversion"/>
  </si>
  <si>
    <t>VA16-300</t>
    <phoneticPr fontId="1" type="noConversion"/>
  </si>
  <si>
    <r>
      <rPr>
        <b/>
        <sz val="16"/>
        <color indexed="8"/>
        <rFont val="宋体"/>
        <family val="3"/>
        <charset val="134"/>
      </rPr>
      <t>开始日期</t>
    </r>
    <phoneticPr fontId="1" type="noConversion"/>
  </si>
  <si>
    <r>
      <rPr>
        <b/>
        <sz val="16"/>
        <color indexed="8"/>
        <rFont val="宋体"/>
        <family val="3"/>
        <charset val="134"/>
      </rPr>
      <t>截止日期</t>
    </r>
    <phoneticPr fontId="1" type="noConversion"/>
  </si>
  <si>
    <t>VR16-031</t>
    <phoneticPr fontId="1" type="noConversion"/>
  </si>
  <si>
    <t>请插入新行，添加新的产品认证信息…</t>
    <phoneticPr fontId="1" type="noConversion"/>
  </si>
  <si>
    <t>说明：</t>
    <phoneticPr fontId="1" type="noConversion"/>
  </si>
  <si>
    <t>1、打开文件时，若出现“宏已被禁用”安全警告，请选择&lt;启用内容&gt;。</t>
    <phoneticPr fontId="1" type="noConversion"/>
  </si>
  <si>
    <t>2、若要添加新的产品认证信息，可按提示，在表格的最后一行插入新行，编辑内容。</t>
    <phoneticPr fontId="1" type="noConversion"/>
  </si>
  <si>
    <t xml:space="preserve">   注意：1）&lt;序号&gt;列中的产品序号，请参考\\192.168.144.11\data\AS-公共\003 灯具单页介绍\航安产品_系列命名及产品编号-V1.3Draft_20160909</t>
    <phoneticPr fontId="1" type="noConversion"/>
  </si>
  <si>
    <t xml:space="preserve">         2）&lt;当前时间&gt;列、&lt;剩余时间&gt;列均有计算公式，编辑时，下拉上一行单元格填充即可。</t>
    <phoneticPr fontId="1" type="noConversion"/>
  </si>
  <si>
    <t xml:space="preserve">         3）&lt;Y/N&gt;列表示是否继续认证产品，Y：继续认证，N：不继续认证。          </t>
    <phoneticPr fontId="1" type="noConversion"/>
  </si>
  <si>
    <t>5、CAAC证书，&lt;剩余时间&gt;列单元格颜色填充规则（可调整）：</t>
    <phoneticPr fontId="1" type="noConversion"/>
  </si>
  <si>
    <t xml:space="preserve">   剩余时间小于0：红色</t>
    <phoneticPr fontId="1" type="noConversion"/>
  </si>
  <si>
    <t xml:space="preserve">   剩余时间大于等于0且小于等于6（月）：橙色</t>
    <phoneticPr fontId="1" type="noConversion"/>
  </si>
  <si>
    <t xml:space="preserve">   剩余时间大于6（月）：绿色</t>
    <phoneticPr fontId="1" type="noConversion"/>
  </si>
  <si>
    <t>6、CAAC证书，过期预警提示（可调整）：</t>
    <phoneticPr fontId="1" type="noConversion"/>
  </si>
  <si>
    <t xml:space="preserve">   当产品证书剩余时间只剩6个月时，打开文档，将弹出过期预警提示。</t>
    <phoneticPr fontId="1" type="noConversion"/>
  </si>
  <si>
    <t>跑道末端灯</t>
    <phoneticPr fontId="1" type="noConversion"/>
  </si>
  <si>
    <t>ENDS-12-LED-R-M</t>
    <phoneticPr fontId="1" type="noConversion"/>
  </si>
  <si>
    <t>VA17-230</t>
    <phoneticPr fontId="1" type="noConversion"/>
  </si>
  <si>
    <t>EOL-OB-L-A-LED-220</t>
    <phoneticPr fontId="1" type="noConversion"/>
  </si>
  <si>
    <t>VA17-229</t>
    <phoneticPr fontId="1" type="noConversion"/>
  </si>
  <si>
    <t>EOL-OB-L-B-LED-220</t>
    <phoneticPr fontId="1" type="noConversion"/>
  </si>
  <si>
    <t>VA17-228</t>
    <phoneticPr fontId="1" type="noConversion"/>
  </si>
  <si>
    <t>EOL-OB-L-A-LED-066</t>
    <phoneticPr fontId="1" type="noConversion"/>
  </si>
  <si>
    <t>VA17-227</t>
    <phoneticPr fontId="1" type="noConversion"/>
  </si>
  <si>
    <t>.</t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</si>
  <si>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</si>
  <si>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</si>
  <si>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100441792CRT-001</t>
    <phoneticPr fontId="1" type="noConversion"/>
  </si>
  <si>
    <t>说明：</t>
    <phoneticPr fontId="1" type="noConversion"/>
  </si>
  <si>
    <t>5、FAA证书，&lt;剩余时间&gt;列单元格颜色填充规则（可调整）：</t>
    <phoneticPr fontId="1" type="noConversion"/>
  </si>
  <si>
    <t>RCL-08-XXX-CC</t>
    <phoneticPr fontId="1" type="noConversion"/>
  </si>
  <si>
    <t>RCL-08-XXX-CR</t>
    <phoneticPr fontId="1" type="noConversion"/>
  </si>
  <si>
    <t>RCL-08-XXX-048-C</t>
    <phoneticPr fontId="1" type="noConversion"/>
  </si>
  <si>
    <t>RCL-08-XXX-R</t>
    <phoneticPr fontId="1" type="noConversion"/>
  </si>
  <si>
    <t>TDZ-08-X-048-C</t>
    <phoneticPr fontId="1" type="noConversion"/>
  </si>
  <si>
    <t>TCLM-08-S-048-GG</t>
    <phoneticPr fontId="1" type="noConversion"/>
  </si>
  <si>
    <t>TCLM-08-S-048-YY</t>
    <phoneticPr fontId="1" type="noConversion"/>
  </si>
  <si>
    <t>TCLM-08-S-048-GY</t>
    <phoneticPr fontId="1" type="noConversion"/>
  </si>
  <si>
    <t>TCLM-08-C-048-G</t>
    <phoneticPr fontId="1" type="noConversion"/>
  </si>
  <si>
    <t>TCLM-08-C-048-Y</t>
    <phoneticPr fontId="1" type="noConversion"/>
  </si>
  <si>
    <t>TCLM-08-C-048-GG</t>
    <phoneticPr fontId="1" type="noConversion"/>
  </si>
  <si>
    <t>TCLM-08-C-048-YY</t>
    <phoneticPr fontId="1" type="noConversion"/>
  </si>
  <si>
    <t>EOL-TE-LED-066-B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</si>
  <si>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</si>
  <si>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</si>
  <si>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</si>
  <si>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</si>
  <si>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</si>
  <si>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</si>
  <si>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</si>
  <si>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</si>
  <si>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REL-12-L-210-CC</t>
    <phoneticPr fontId="1" type="noConversion"/>
  </si>
  <si>
    <t>REL-12-L-210-CY</t>
    <phoneticPr fontId="1" type="noConversion"/>
  </si>
  <si>
    <t>REL-12-L-210-YC</t>
    <phoneticPr fontId="1" type="noConversion"/>
  </si>
  <si>
    <t>REL-12-L-210-CR</t>
    <phoneticPr fontId="1" type="noConversion"/>
  </si>
  <si>
    <t>REL-12-L-210-RC</t>
    <phoneticPr fontId="1" type="noConversion"/>
  </si>
  <si>
    <t>REL-12-R-210-CC</t>
    <phoneticPr fontId="1" type="noConversion"/>
  </si>
  <si>
    <t>REL-12-R-210-CY</t>
    <phoneticPr fontId="1" type="noConversion"/>
  </si>
  <si>
    <t>REL-12-R-210-YC</t>
    <phoneticPr fontId="1" type="noConversion"/>
  </si>
  <si>
    <t>REL-12-R-210-CR</t>
    <phoneticPr fontId="1" type="noConversion"/>
  </si>
  <si>
    <t>REL-12-R-210-RC</t>
    <phoneticPr fontId="1" type="noConversion"/>
  </si>
  <si>
    <t>TAE-12-S-210-RR</t>
    <phoneticPr fontId="1" type="noConversion"/>
  </si>
  <si>
    <t>TAE-12-R-210-GR</t>
    <phoneticPr fontId="1" type="noConversion"/>
  </si>
  <si>
    <t>TAE-12-L-210-GR</t>
    <phoneticPr fontId="1" type="noConversion"/>
  </si>
  <si>
    <t>THR-12-R-096-G</t>
    <phoneticPr fontId="1" type="noConversion"/>
  </si>
  <si>
    <t>THR-12-L-096-G</t>
    <phoneticPr fontId="1" type="noConversion"/>
  </si>
  <si>
    <t>.</t>
    <phoneticPr fontId="1" type="noConversion"/>
  </si>
  <si>
    <t>TCLMS-08-C-LED</t>
    <phoneticPr fontId="1" type="noConversion"/>
  </si>
  <si>
    <t>TCLMS-08-S-LED</t>
    <phoneticPr fontId="1" type="noConversion"/>
  </si>
  <si>
    <t>SBLMS-08-LED-R</t>
    <phoneticPr fontId="1" type="noConversion"/>
  </si>
  <si>
    <t>TPLMS-08-LED-Y</t>
    <phoneticPr fontId="1" type="noConversion"/>
  </si>
  <si>
    <t>IRGMS-08-LED-Y</t>
    <phoneticPr fontId="1" type="noConversion"/>
  </si>
  <si>
    <t>150500321SHA-001</t>
    <phoneticPr fontId="1" type="noConversion"/>
  </si>
  <si>
    <t>3150326CRT-001</t>
    <phoneticPr fontId="1" type="noConversion"/>
  </si>
  <si>
    <t>EUL-AP-LED</t>
    <phoneticPr fontId="1" type="noConversion"/>
  </si>
  <si>
    <t>EUL-CB-LED</t>
    <phoneticPr fontId="1" type="noConversion"/>
  </si>
  <si>
    <t>141101397SHA-005</t>
    <phoneticPr fontId="1" type="noConversion"/>
  </si>
  <si>
    <t>APP-12-315-C</t>
    <phoneticPr fontId="1" type="noConversion"/>
  </si>
  <si>
    <t>140801204SHA-002</t>
    <phoneticPr fontId="1" type="noConversion"/>
  </si>
  <si>
    <t>EUL-CB-150-C</t>
    <phoneticPr fontId="1" type="noConversion"/>
  </si>
  <si>
    <t>140801204SHA-001</t>
    <phoneticPr fontId="1" type="noConversion"/>
  </si>
  <si>
    <t>EUL-SR-LED</t>
    <phoneticPr fontId="1" type="noConversion"/>
  </si>
  <si>
    <t>141101397SHA-009</t>
    <phoneticPr fontId="1" type="noConversion"/>
  </si>
  <si>
    <t>APS-12-L-315-R</t>
    <phoneticPr fontId="1" type="noConversion"/>
  </si>
  <si>
    <t>APS-12-R-315-R</t>
    <phoneticPr fontId="1" type="noConversion"/>
  </si>
  <si>
    <t>100894866CRT-003</t>
    <phoneticPr fontId="1" type="noConversion"/>
  </si>
  <si>
    <t>SFL-XP</t>
    <phoneticPr fontId="1" type="noConversion"/>
  </si>
  <si>
    <t>ISFL-XP</t>
    <phoneticPr fontId="1" type="noConversion"/>
  </si>
  <si>
    <t>141101397SHA-001</t>
    <phoneticPr fontId="1" type="noConversion"/>
  </si>
  <si>
    <t>PAPI-300</t>
    <phoneticPr fontId="1" type="noConversion"/>
  </si>
  <si>
    <t>140101242SHA-005</t>
    <phoneticPr fontId="1" type="noConversion"/>
  </si>
  <si>
    <t>RCLM-08-105-CR</t>
    <phoneticPr fontId="1" type="noConversion"/>
  </si>
  <si>
    <t>3150403CRT-001</t>
    <phoneticPr fontId="1" type="noConversion"/>
  </si>
  <si>
    <t>RCL-08-096-CR</t>
    <phoneticPr fontId="1" type="noConversion"/>
  </si>
  <si>
    <t>RCL-08-096-CC</t>
    <phoneticPr fontId="1" type="noConversion"/>
  </si>
  <si>
    <t>RCL-08-048-RB</t>
    <phoneticPr fontId="1" type="noConversion"/>
  </si>
  <si>
    <t>100441792CRT-002</t>
    <phoneticPr fontId="1" type="noConversion"/>
  </si>
  <si>
    <t>TDZ-08-L-048-C</t>
    <phoneticPr fontId="1" type="noConversion"/>
  </si>
  <si>
    <t>TDZ-08-R-048-C</t>
    <phoneticPr fontId="1" type="noConversion"/>
  </si>
  <si>
    <t>EBL-RE-II</t>
    <phoneticPr fontId="1" type="noConversion"/>
  </si>
  <si>
    <t>140501506SHA-002</t>
    <phoneticPr fontId="1" type="noConversion"/>
  </si>
  <si>
    <t>EBL-RE-LED</t>
    <phoneticPr fontId="1" type="noConversion"/>
  </si>
  <si>
    <t>141101397SHA-004</t>
    <phoneticPr fontId="1" type="noConversion"/>
  </si>
  <si>
    <t>REL-12-R-210-CC</t>
    <phoneticPr fontId="1" type="noConversion"/>
  </si>
  <si>
    <t>REL-12-L-210-CC</t>
    <phoneticPr fontId="1" type="noConversion"/>
  </si>
  <si>
    <t>EUL-TH-LED</t>
    <phoneticPr fontId="1" type="noConversion"/>
  </si>
  <si>
    <t>141101397SHA-006</t>
    <phoneticPr fontId="1" type="noConversion"/>
  </si>
  <si>
    <t>THR-12-R-210-G</t>
    <phoneticPr fontId="1" type="noConversion"/>
  </si>
  <si>
    <t>THR-12-L-210-G</t>
    <phoneticPr fontId="1" type="noConversion"/>
  </si>
  <si>
    <t>THR-12-S-210-G</t>
    <phoneticPr fontId="1" type="noConversion"/>
  </si>
  <si>
    <t>EUL(Approach Center Line)</t>
    <phoneticPr fontId="1" type="noConversion"/>
  </si>
  <si>
    <t>EUL(Approach Side Row)</t>
    <phoneticPr fontId="1" type="noConversion"/>
  </si>
  <si>
    <t>EUL(Threshold)</t>
    <phoneticPr fontId="1" type="noConversion"/>
  </si>
  <si>
    <t>EUL(Threshold Wing Bar)</t>
    <phoneticPr fontId="1" type="noConversion"/>
  </si>
  <si>
    <t>EUL-THW-LED</t>
    <phoneticPr fontId="1" type="noConversion"/>
  </si>
  <si>
    <t>141101397SHA-007</t>
    <phoneticPr fontId="1" type="noConversion"/>
  </si>
  <si>
    <t>THW-12-R-315-G</t>
    <phoneticPr fontId="1" type="noConversion"/>
  </si>
  <si>
    <t>THW-12-L-315-G</t>
    <phoneticPr fontId="1" type="noConversion"/>
  </si>
  <si>
    <r>
      <rPr>
        <b/>
        <sz val="16"/>
        <color indexed="8"/>
        <rFont val="宋体"/>
        <family val="3"/>
        <charset val="134"/>
      </rPr>
      <t>序号</t>
    </r>
    <phoneticPr fontId="1" type="noConversion"/>
  </si>
  <si>
    <r>
      <rPr>
        <b/>
        <sz val="16"/>
        <color indexed="8"/>
        <rFont val="宋体"/>
        <family val="3"/>
        <charset val="134"/>
      </rPr>
      <t>产品名称</t>
    </r>
    <phoneticPr fontId="1" type="noConversion"/>
  </si>
  <si>
    <r>
      <rPr>
        <b/>
        <sz val="16"/>
        <color indexed="8"/>
        <rFont val="宋体"/>
        <family val="3"/>
        <charset val="134"/>
      </rPr>
      <t>设备型号</t>
    </r>
    <phoneticPr fontId="1" type="noConversion"/>
  </si>
  <si>
    <r>
      <rPr>
        <b/>
        <sz val="16"/>
        <color indexed="8"/>
        <rFont val="宋体"/>
        <family val="3"/>
        <charset val="134"/>
      </rPr>
      <t>通告编号</t>
    </r>
    <phoneticPr fontId="1" type="noConversion"/>
  </si>
  <si>
    <r>
      <rPr>
        <b/>
        <sz val="16"/>
        <color indexed="8"/>
        <rFont val="宋体"/>
        <family val="3"/>
        <charset val="134"/>
      </rPr>
      <t>通告日期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</si>
  <si>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</si>
  <si>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b/>
        <sz val="16"/>
        <color indexed="8"/>
        <rFont val="宋体"/>
        <family val="3"/>
        <charset val="134"/>
      </rPr>
      <t>当前时间</t>
    </r>
    <phoneticPr fontId="1" type="noConversion"/>
  </si>
  <si>
    <r>
      <rPr>
        <b/>
        <sz val="16"/>
        <color indexed="8"/>
        <rFont val="宋体"/>
        <family val="3"/>
        <charset val="134"/>
      </rPr>
      <t>剩余时间</t>
    </r>
    <r>
      <rPr>
        <b/>
        <sz val="16"/>
        <color indexed="8"/>
        <rFont val="Times New Roman"/>
        <family val="1"/>
      </rPr>
      <t xml:space="preserve">   </t>
    </r>
    <r>
      <rPr>
        <b/>
        <sz val="16"/>
        <color indexed="8"/>
        <rFont val="宋体"/>
        <family val="3"/>
        <charset val="134"/>
      </rPr>
      <t>（月）</t>
    </r>
    <phoneticPr fontId="1" type="noConversion"/>
  </si>
  <si>
    <r>
      <rPr>
        <b/>
        <sz val="16"/>
        <color indexed="8"/>
        <rFont val="宋体"/>
        <family val="3"/>
        <charset val="134"/>
      </rPr>
      <t>备注</t>
    </r>
    <phoneticPr fontId="1" type="noConversion"/>
  </si>
  <si>
    <t>EUL(Runway End)</t>
    <phoneticPr fontId="1" type="noConversion"/>
  </si>
  <si>
    <t>EUL-ED-LED</t>
    <phoneticPr fontId="1" type="noConversion"/>
  </si>
  <si>
    <t>141101397SHA-008</t>
    <phoneticPr fontId="1" type="noConversion"/>
  </si>
  <si>
    <t>END-08-105-R</t>
    <phoneticPr fontId="1" type="noConversion"/>
  </si>
  <si>
    <t>140801204SHA-003</t>
    <phoneticPr fontId="1" type="noConversion"/>
  </si>
  <si>
    <t>END-12-105-R</t>
    <phoneticPr fontId="1" type="noConversion"/>
  </si>
  <si>
    <t>100894866CRT-003</t>
    <phoneticPr fontId="1" type="noConversion"/>
  </si>
  <si>
    <t>140801204SHA-004</t>
    <phoneticPr fontId="1" type="noConversion"/>
  </si>
  <si>
    <t>TAE-12</t>
    <phoneticPr fontId="1" type="noConversion"/>
  </si>
  <si>
    <t>140501506SHA-009</t>
    <phoneticPr fontId="1" type="noConversion"/>
  </si>
  <si>
    <t>140501506SHA-003</t>
    <phoneticPr fontId="1" type="noConversion"/>
  </si>
  <si>
    <t>IRGM-08-048-Y</t>
    <phoneticPr fontId="1" type="noConversion"/>
  </si>
  <si>
    <t>140801204SHA-005</t>
    <phoneticPr fontId="1" type="noConversion"/>
  </si>
  <si>
    <t>IRGM-08-LED-Y</t>
    <phoneticPr fontId="1" type="noConversion"/>
  </si>
  <si>
    <t>140101242SHA-004</t>
    <phoneticPr fontId="1" type="noConversion"/>
  </si>
  <si>
    <t>RAP-08-048-YB</t>
    <phoneticPr fontId="1" type="noConversion"/>
  </si>
  <si>
    <t>100441792CRT-002</t>
    <phoneticPr fontId="1" type="noConversion"/>
  </si>
  <si>
    <t>RCLM-08-105-YY</t>
    <phoneticPr fontId="1" type="noConversion"/>
  </si>
  <si>
    <t>3150403CRT-001</t>
    <phoneticPr fontId="1" type="noConversion"/>
  </si>
  <si>
    <t>TCLM-08-S-048-GY</t>
    <phoneticPr fontId="1" type="noConversion"/>
  </si>
  <si>
    <t>TCLM-08-C-LED-GY</t>
    <phoneticPr fontId="1" type="noConversion"/>
  </si>
  <si>
    <t>140101242SHA-002</t>
    <phoneticPr fontId="1" type="noConversion"/>
  </si>
  <si>
    <t>TCLM-08-S-LED-GY</t>
    <phoneticPr fontId="1" type="noConversion"/>
  </si>
  <si>
    <t>140101242SHA-001</t>
    <phoneticPr fontId="1" type="noConversion"/>
  </si>
  <si>
    <t>EOL-TE-LED-B</t>
    <phoneticPr fontId="1" type="noConversion"/>
  </si>
  <si>
    <t>141101397SHA-010</t>
    <phoneticPr fontId="1" type="noConversion"/>
  </si>
  <si>
    <t>TOEL-08</t>
    <phoneticPr fontId="1" type="noConversion"/>
  </si>
  <si>
    <t>140501506SHA-007</t>
    <phoneticPr fontId="1" type="noConversion"/>
  </si>
  <si>
    <t>TOEL-08-LED</t>
    <phoneticPr fontId="1" type="noConversion"/>
  </si>
  <si>
    <t>140501506SHA-008</t>
    <phoneticPr fontId="1" type="noConversion"/>
  </si>
  <si>
    <t>EUL-SB</t>
    <phoneticPr fontId="1" type="noConversion"/>
  </si>
  <si>
    <t>140501506SHA-004</t>
    <phoneticPr fontId="1" type="noConversion"/>
  </si>
  <si>
    <t>EUL-SB-LED</t>
    <phoneticPr fontId="1" type="noConversion"/>
  </si>
  <si>
    <t>141101397SHA-002</t>
    <phoneticPr fontId="1" type="noConversion"/>
  </si>
  <si>
    <t>TCLM-08-S-048-RR</t>
    <phoneticPr fontId="1" type="noConversion"/>
  </si>
  <si>
    <t>SBLM-08-S-LED-RB</t>
    <phoneticPr fontId="1" type="noConversion"/>
  </si>
  <si>
    <t>140101242SHA-003</t>
    <phoneticPr fontId="1" type="noConversion"/>
  </si>
  <si>
    <t>TPLM-08-048-Y</t>
    <phoneticPr fontId="1" type="noConversion"/>
  </si>
  <si>
    <t>140801204SHA-006</t>
    <phoneticPr fontId="1" type="noConversion"/>
  </si>
  <si>
    <t>TPLM-08-LED-Y</t>
    <phoneticPr fontId="1" type="noConversion"/>
  </si>
  <si>
    <t>140801204SHA-007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</si>
  <si>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</si>
  <si>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</si>
  <si>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</si>
  <si>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</si>
  <si>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</si>
  <si>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</si>
  <si>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</si>
  <si>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</si>
  <si>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141200052SHA-002</t>
    <phoneticPr fontId="1" type="noConversion"/>
  </si>
  <si>
    <t>TGSL-H</t>
    <phoneticPr fontId="1" type="noConversion"/>
  </si>
  <si>
    <t>140501304SHA-001</t>
    <phoneticPr fontId="1" type="noConversion"/>
  </si>
  <si>
    <t>EOL-OB-LED</t>
    <phoneticPr fontId="1" type="noConversion"/>
  </si>
  <si>
    <t>140501506SHA-001</t>
    <phoneticPr fontId="1" type="noConversion"/>
  </si>
  <si>
    <t>.</t>
    <phoneticPr fontId="1" type="noConversion"/>
  </si>
  <si>
    <t>立式进近中线灯</t>
    <phoneticPr fontId="1" type="noConversion"/>
  </si>
  <si>
    <t>立式进近横排灯</t>
    <phoneticPr fontId="1" type="noConversion"/>
  </si>
  <si>
    <t>立式进近侧边灯</t>
    <phoneticPr fontId="1" type="noConversion"/>
  </si>
  <si>
    <t>立式跑道末端灯</t>
    <phoneticPr fontId="1" type="noConversion"/>
  </si>
  <si>
    <t>立式跑道入口翼排灯</t>
    <phoneticPr fontId="1" type="noConversion"/>
  </si>
  <si>
    <t>立式跑道入口灯</t>
    <phoneticPr fontId="1" type="noConversion"/>
  </si>
  <si>
    <t>顺序闪光灯系统</t>
    <phoneticPr fontId="1" type="noConversion"/>
  </si>
  <si>
    <t>立式停止排灯</t>
    <phoneticPr fontId="1" type="noConversion"/>
  </si>
  <si>
    <t>隔离变压器</t>
    <phoneticPr fontId="1" type="noConversion"/>
  </si>
  <si>
    <t>嵌入式跑道末端灯（8英寸）</t>
    <phoneticPr fontId="1" type="noConversion"/>
  </si>
  <si>
    <t>EUL-RG</t>
    <phoneticPr fontId="1" type="noConversion"/>
  </si>
  <si>
    <t>立式跑道警戒灯</t>
    <phoneticPr fontId="1" type="noConversion"/>
  </si>
  <si>
    <t>嵌入式跑道警戒灯（8英寸）</t>
    <phoneticPr fontId="1" type="noConversion"/>
  </si>
  <si>
    <t>LED滑行引导标记牌</t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</si>
  <si>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CAAC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</si>
  <si>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</si>
  <si>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t>5、ICAO证书，&lt;剩余时间&gt;列单元格颜色填充规则（可调整）：</t>
    <phoneticPr fontId="1" type="noConversion"/>
  </si>
  <si>
    <t>立式进近中线灯</t>
    <phoneticPr fontId="1" type="noConversion"/>
  </si>
  <si>
    <t>.</t>
    <phoneticPr fontId="1" type="noConversion"/>
  </si>
  <si>
    <t>EUL-AP-LED</t>
    <phoneticPr fontId="1" type="noConversion"/>
  </si>
  <si>
    <t>VA16-028</t>
    <phoneticPr fontId="1" type="noConversion"/>
  </si>
  <si>
    <t>3、排序，可根据序号排序、剩余时间排序，默认情况下采用序号升序排序。</t>
    <phoneticPr fontId="1" type="noConversion"/>
  </si>
  <si>
    <t>6、FAA证书，过期预警提示（可调整）：</t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</si>
  <si>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</si>
  <si>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本产品不再做认证</t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</si>
  <si>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ICAO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</si>
  <si>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</si>
  <si>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FAA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</si>
  <si>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</si>
  <si>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</si>
  <si>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嵌入式跑道入口翼排灯（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</si>
  <si>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快速出口滑行道指示灯（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</si>
  <si>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</si>
  <si>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t>作废产品认证证书汇总</t>
  </si>
  <si>
    <t>作废产品认证证书汇总</t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</si>
  <si>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</si>
  <si>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嵌入式跑道入口翼排灯</t>
    </r>
    <phoneticPr fontId="1" type="noConversion"/>
  </si>
  <si>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</si>
  <si>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</si>
  <si>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寸嵌入式跑道末端灯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</si>
  <si>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</si>
  <si>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</si>
  <si>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</si>
  <si>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宋体"/>
        <family val="3"/>
        <charset val="134"/>
      </rPr>
      <t>滑行道中线灯（弯道段）</t>
    </r>
    <phoneticPr fontId="1" type="noConversion"/>
  </si>
  <si>
    <r>
      <rPr>
        <sz val="14"/>
        <color indexed="8"/>
        <rFont val="宋体"/>
        <family val="3"/>
        <charset val="134"/>
      </rPr>
      <t>滑行道中线灯（直线段）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</si>
  <si>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</t>
    </r>
    <phoneticPr fontId="1" type="noConversion"/>
  </si>
  <si>
    <r>
      <t>EOL-TE-LED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</si>
  <si>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滑行道边灯（嵌入式卤素灯型）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</si>
  <si>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</t>
    </r>
    <phoneticPr fontId="1" type="noConversion"/>
  </si>
  <si>
    <r>
      <t>TOEL-08-LED-B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</si>
  <si>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滑行道边逆向反光标志棒</t>
    </r>
    <phoneticPr fontId="1" type="noConversion"/>
  </si>
  <si>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</si>
  <si>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r>
      <rPr>
        <sz val="14"/>
        <color indexed="8"/>
        <rFont val="宋体"/>
        <family val="3"/>
        <charset val="134"/>
      </rPr>
      <t>停止排灯</t>
    </r>
    <phoneticPr fontId="1" type="noConversion"/>
  </si>
  <si>
    <r>
      <rPr>
        <sz val="14"/>
        <color indexed="8"/>
        <rFont val="宋体"/>
        <family val="3"/>
        <charset val="134"/>
      </rPr>
      <t>停止排灯（非标加厚型）</t>
    </r>
    <phoneticPr fontId="1" type="noConversion"/>
  </si>
  <si>
    <r>
      <rPr>
        <sz val="14"/>
        <color indexed="8"/>
        <rFont val="宋体"/>
        <family val="3"/>
        <charset val="134"/>
      </rPr>
      <t>停止排灯（错窗型）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</si>
  <si>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</si>
  <si>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</t>
    </r>
    <phoneticPr fontId="1" type="noConversion"/>
  </si>
  <si>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</si>
  <si>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</si>
  <si>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rPr>
        <sz val="14"/>
        <color indexed="8"/>
        <rFont val="宋体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宋体"/>
        <family val="3"/>
        <charset val="134"/>
      </rPr>
      <t>型低光强）</t>
    </r>
    <phoneticPr fontId="1" type="noConversion"/>
  </si>
  <si>
    <r>
      <rPr>
        <sz val="14"/>
        <color indexed="8"/>
        <rFont val="宋体"/>
        <family val="3"/>
        <charset val="134"/>
      </rPr>
      <t>隔离变压器（老式）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</si>
  <si>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</si>
  <si>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</si>
  <si>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</si>
  <si>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12-8</t>
    </r>
    <r>
      <rPr>
        <sz val="14"/>
        <color indexed="8"/>
        <rFont val="宋体"/>
        <family val="3"/>
        <charset val="134"/>
      </rPr>
      <t>过渡圈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</si>
  <si>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</si>
  <si>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</si>
  <si>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深桶底座（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</si>
  <si>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4、产品下架，若产品认证已过期且不打算继续认证产品，则备注信息并将条目置于作废产品认证证书汇总表。</t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</si>
  <si>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立式进近中线灯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</si>
  <si>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</si>
  <si>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嵌入式进近灯</t>
    </r>
    <phoneticPr fontId="1" type="noConversion"/>
  </si>
  <si>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</si>
  <si>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</si>
  <si>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寸嵌入式进近侧边灯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</si>
  <si>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嵌入式进近侧边灯</t>
    </r>
    <phoneticPr fontId="1" type="noConversion"/>
  </si>
  <si>
    <r>
      <rPr>
        <sz val="14"/>
        <color indexed="8"/>
        <rFont val="宋体"/>
        <family val="3"/>
        <charset val="134"/>
      </rPr>
      <t>立式顺序闪光灯</t>
    </r>
    <phoneticPr fontId="1" type="noConversion"/>
  </si>
  <si>
    <r>
      <rPr>
        <sz val="14"/>
        <color indexed="8"/>
        <rFont val="宋体"/>
        <family val="3"/>
        <charset val="134"/>
      </rPr>
      <t>嵌入式顺序闪光灯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</si>
  <si>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</t>
    </r>
    <phoneticPr fontId="1" type="noConversion"/>
  </si>
  <si>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</si>
  <si>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</si>
  <si>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rPr>
        <sz val="14"/>
        <color indexed="8"/>
        <rFont val="宋体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</si>
  <si>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</si>
  <si>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跑道接地带灯</t>
    </r>
    <phoneticPr fontId="1" type="noConversion"/>
  </si>
  <si>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</si>
  <si>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EBL-RE-II-150-RC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</si>
  <si>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</si>
  <si>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</si>
  <si>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嵌入式跑道边灯</t>
    </r>
    <phoneticPr fontId="1" type="noConversion"/>
  </si>
  <si>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</si>
  <si>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</si>
  <si>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</si>
  <si>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嵌入式跑道入口灯</t>
    </r>
    <phoneticPr fontId="1" type="noConversion"/>
  </si>
  <si>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</si>
  <si>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</si>
  <si>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</si>
  <si>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</si>
  <si>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</si>
  <si>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</si>
  <si>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</si>
  <si>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</si>
  <si>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风向标（内部照明）</t>
    </r>
    <phoneticPr fontId="1" type="noConversion"/>
  </si>
  <si>
    <r>
      <rPr>
        <sz val="14"/>
        <color indexed="8"/>
        <rFont val="宋体"/>
        <family val="3"/>
        <charset val="134"/>
      </rPr>
      <t>立式航空障碍灯（低光强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</si>
  <si>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A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</si>
  <si>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r>
      <t>B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</si>
  <si>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r>
      <rPr>
        <sz val="14"/>
        <color indexed="8"/>
        <rFont val="宋体"/>
        <family val="3"/>
        <charset val="134"/>
      </rPr>
      <t>隔离变压器箱</t>
    </r>
    <phoneticPr fontId="1" type="noConversion"/>
  </si>
  <si>
    <t>本产品不再做认证</t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</si>
  <si>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</si>
  <si>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跑道接地带灯（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</si>
  <si>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</si>
  <si>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</si>
  <si>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</si>
  <si>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</si>
  <si>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</si>
  <si>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</si>
  <si>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</si>
  <si>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t>本产品不再做认证</t>
    <phoneticPr fontId="1" type="noConversion"/>
  </si>
  <si>
    <r>
      <rPr>
        <sz val="14"/>
        <color indexed="8"/>
        <rFont val="宋体"/>
        <family val="3"/>
        <charset val="134"/>
      </rPr>
      <t>嵌入式进近中线灯（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</si>
  <si>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立式进近横排灯</t>
    </r>
    <phoneticPr fontId="1" type="noConversion"/>
  </si>
  <si>
    <r>
      <rPr>
        <sz val="14"/>
        <color indexed="8"/>
        <rFont val="宋体"/>
        <family val="3"/>
        <charset val="134"/>
      </rPr>
      <t>嵌入式进近侧边灯（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</si>
  <si>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顺序闪光灯系统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</si>
  <si>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精密进近航道指示器（</t>
    </r>
    <r>
      <rPr>
        <sz val="14"/>
        <color indexed="8"/>
        <rFont val="Times New Roman"/>
        <family val="1"/>
      </rPr>
      <t>PAPI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</si>
  <si>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</si>
  <si>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立式跑道边灯（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</si>
  <si>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</si>
  <si>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</si>
  <si>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嵌入式滑行道边灯（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</si>
  <si>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</si>
  <si>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</si>
  <si>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</si>
  <si>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</si>
  <si>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</si>
  <si>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</si>
  <si>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</si>
  <si>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嵌入式跑道警戒灯（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</si>
  <si>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嵌入式跑道警戒灯（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</si>
  <si>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低光强障碍灯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</si>
</sst>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i/>
      <sz val="11"/>
      <color rgb="FF7F7F7F"/>
      <name val="等线"/>
      <family val="2"/>
      <charset val="134"/>
      <scheme val="minor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i/>
      <sz val="14"/>
      <color indexed="22"/>
      <name val="仿宋"/>
      <family val="3"/>
      <charset val="134"/>
    </font>
    <font>
      <sz val="14"/>
      <color theme="1"/>
      <name val="Times New Roman"/>
      <family val="1"/>
    </font>
    <font>
      <sz val="14"/>
      <color indexed="8"/>
      <name val="宋体"/>
      <family val="3"/>
      <charset val="134"/>
    </font>
    <font>
      <sz val="14"/>
      <color theme="0"/>
      <name val="Times New Roman"/>
      <family val="1"/>
    </font>
    <font>
      <sz val="14"/>
      <color indexed="22"/>
      <name val="Times New Roman"/>
      <family val="1"/>
    </font>
    <font>
      <b/>
      <sz val="16"/>
      <color indexed="8"/>
      <name val="宋体"/>
      <family val="3"/>
      <charset val="134"/>
    </font>
    <font>
      <b/>
      <sz val="24"/>
      <color indexed="8"/>
      <name val="Times New Roman"/>
      <family val="1"/>
    </font>
    <font>
      <b/>
      <sz val="24"/>
      <color indexed="8"/>
      <name val="宋体"/>
      <family val="3"/>
      <charset val="134"/>
    </font>
    <font>
      <sz val="14"/>
      <color indexed="8"/>
      <name val="仿宋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center"/>
    </xf>
  </cellStyleXfs>
  <cellXfs count="89">
    <xf numFmtId="0" fontId="0" fillId="0" borderId="0" xfId="0"/>
    <xf numFmtId="0" fontId="2" fillId="0" borderId="0" xfId="0" applyFont="1"/>
    <xf numFmtId="0" fontId="5" fillId="0" borderId="1" xfId="0" applyFont="1" applyFill="1" applyBorder="1"/>
    <xf numFmtId="49" fontId="5" fillId="0" borderId="1" xfId="0" applyNumberFormat="1" applyFont="1" applyFill="1" applyBorder="1"/>
    <xf numFmtId="14" fontId="5" fillId="0" borderId="1" xfId="0" applyNumberFormat="1" applyFont="1" applyFill="1" applyBorder="1" applyAlignment="1">
      <alignment horizontal="left" vertical="center"/>
    </xf>
    <xf numFmtId="0" fontId="5" fillId="0" borderId="6" xfId="0" applyFont="1" applyFill="1" applyBorder="1"/>
    <xf numFmtId="49" fontId="5" fillId="0" borderId="6" xfId="0" applyNumberFormat="1" applyFont="1" applyFill="1" applyBorder="1"/>
    <xf numFmtId="14" fontId="5" fillId="0" borderId="6" xfId="0" applyNumberFormat="1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6" fillId="0" borderId="21" xfId="1" applyFont="1" applyFill="1" applyBorder="1" applyAlignment="1"/>
    <xf numFmtId="0" fontId="5" fillId="0" borderId="18" xfId="0" applyFont="1" applyFill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8" fillId="0" borderId="16" xfId="0" applyFont="1" applyFill="1" applyBorder="1"/>
    <xf numFmtId="0" fontId="8" fillId="0" borderId="18" xfId="0" applyFont="1" applyFill="1" applyBorder="1"/>
    <xf numFmtId="0" fontId="5" fillId="0" borderId="7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/>
    <xf numFmtId="0" fontId="7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7" fillId="0" borderId="0" xfId="0" applyFont="1" applyBorder="1"/>
    <xf numFmtId="0" fontId="5" fillId="0" borderId="3" xfId="0" applyFont="1" applyFill="1" applyBorder="1"/>
    <xf numFmtId="0" fontId="5" fillId="0" borderId="18" xfId="0" applyFont="1" applyFill="1" applyBorder="1"/>
    <xf numFmtId="0" fontId="5" fillId="0" borderId="18" xfId="0" applyFont="1" applyFill="1" applyBorder="1" applyProtection="1"/>
    <xf numFmtId="0" fontId="5" fillId="0" borderId="1" xfId="0" applyFont="1" applyFill="1" applyBorder="1" applyProtection="1"/>
    <xf numFmtId="49" fontId="5" fillId="0" borderId="1" xfId="0" applyNumberFormat="1" applyFont="1" applyFill="1" applyBorder="1" applyProtection="1"/>
    <xf numFmtId="14" fontId="5" fillId="0" borderId="1" xfId="0" applyNumberFormat="1" applyFont="1" applyFill="1" applyBorder="1" applyAlignment="1" applyProtection="1">
      <alignment horizontal="left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0" borderId="16" xfId="0" applyFont="1" applyFill="1" applyBorder="1"/>
    <xf numFmtId="0" fontId="5" fillId="0" borderId="10" xfId="0" applyFont="1" applyFill="1" applyBorder="1" applyAlignment="1">
      <alignment horizontal="center" vertical="center"/>
    </xf>
    <xf numFmtId="0" fontId="5" fillId="0" borderId="20" xfId="0" applyFont="1" applyFill="1" applyBorder="1"/>
    <xf numFmtId="0" fontId="5" fillId="0" borderId="29" xfId="0" applyFont="1" applyFill="1" applyBorder="1" applyAlignment="1">
      <alignment horizontal="center"/>
    </xf>
    <xf numFmtId="0" fontId="5" fillId="0" borderId="3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0" fontId="10" fillId="0" borderId="22" xfId="1" applyFont="1" applyFill="1" applyBorder="1" applyAlignment="1"/>
    <xf numFmtId="0" fontId="10" fillId="0" borderId="19" xfId="1" applyFont="1" applyFill="1" applyBorder="1" applyAlignment="1"/>
    <xf numFmtId="0" fontId="10" fillId="0" borderId="4" xfId="1" applyFont="1" applyFill="1" applyBorder="1" applyAlignment="1"/>
    <xf numFmtId="0" fontId="10" fillId="0" borderId="5" xfId="1" applyFont="1" applyFill="1" applyBorder="1" applyAlignment="1"/>
    <xf numFmtId="49" fontId="7" fillId="0" borderId="0" xfId="0" applyNumberFormat="1" applyFont="1"/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5" fillId="0" borderId="28" xfId="0" applyNumberFormat="1" applyFont="1" applyFill="1" applyBorder="1" applyAlignment="1">
      <alignment horizontal="center"/>
    </xf>
    <xf numFmtId="0" fontId="5" fillId="0" borderId="27" xfId="0" applyNumberFormat="1" applyFont="1" applyFill="1" applyBorder="1" applyAlignment="1">
      <alignment horizontal="center"/>
    </xf>
    <xf numFmtId="0" fontId="5" fillId="0" borderId="18" xfId="0" applyNumberFormat="1" applyFont="1" applyFill="1" applyBorder="1" applyAlignment="1">
      <alignment horizontal="center"/>
    </xf>
    <xf numFmtId="0" fontId="5" fillId="0" borderId="16" xfId="0" applyFont="1" applyFill="1" applyBorder="1" applyProtection="1"/>
    <xf numFmtId="0" fontId="5" fillId="0" borderId="6" xfId="0" applyFont="1" applyFill="1" applyBorder="1" applyProtection="1"/>
    <xf numFmtId="49" fontId="5" fillId="0" borderId="6" xfId="0" applyNumberFormat="1" applyFont="1" applyFill="1" applyBorder="1" applyProtection="1"/>
    <xf numFmtId="14" fontId="5" fillId="0" borderId="6" xfId="0" applyNumberFormat="1" applyFont="1" applyFill="1" applyBorder="1" applyAlignment="1" applyProtection="1">
      <alignment horizontal="left" vertical="center"/>
    </xf>
    <xf numFmtId="0" fontId="8" fillId="0" borderId="17" xfId="0" applyFont="1" applyFill="1" applyBorder="1"/>
    <xf numFmtId="0" fontId="5" fillId="2" borderId="1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14" fillId="0" borderId="0" xfId="0" applyFont="1" applyFill="1"/>
    <xf numFmtId="0" fontId="10" fillId="0" borderId="0" xfId="0" applyFont="1" applyFill="1"/>
    <xf numFmtId="49" fontId="5" fillId="0" borderId="0" xfId="0" applyNumberFormat="1" applyFont="1" applyFill="1"/>
    <xf numFmtId="0" fontId="5" fillId="0" borderId="0" xfId="0" applyFont="1" applyFill="1" applyAlignment="1">
      <alignment horizontal="left" vertical="center"/>
    </xf>
    <xf numFmtId="0" fontId="5" fillId="0" borderId="1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13" fillId="0" borderId="31" xfId="0" applyFont="1" applyFill="1" applyBorder="1" applyAlignment="1">
      <alignment horizontal="center"/>
    </xf>
    <xf numFmtId="0" fontId="4" fillId="0" borderId="25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6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/>
    </xf>
  </cellXfs>
  <cellStyles count="2">
    <cellStyle name="常规" xfId="0" builtinId="0"/>
    <cellStyle name="解释性文本" xfId="1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V128"/>
  <sheetViews>
    <sheetView zoomScale="85" zoomScaleNormal="85" workbookViewId="0">
      <pane ySplit="3" topLeftCell="A88" activePane="bottomLeft" state="frozenSplit"/>
      <selection pane="bottomLeft" activeCell="R11" sqref="R11"/>
    </sheetView>
  </sheetViews>
  <sheetFormatPr defaultRowHeight="18.75" x14ac:dyDescent="0.3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19.125" style="43" customWidth="1"/>
    <col min="10" max="12" width="13.625" style="44" customWidth="1"/>
    <col min="13" max="13" width="13.625" style="46" customWidth="1"/>
    <col min="14" max="15" width="13.625" style="45" customWidth="1"/>
    <col min="16" max="16" width="32.125" style="22" customWidth="1"/>
    <col min="17" max="17" width="18.125" style="22" customWidth="1"/>
    <col min="18" max="16384" width="9" style="22"/>
  </cols>
  <sheetData>
    <row r="1" spans="2:22" s="21" customFormat="1" ht="36" customHeight="1" thickBot="1" x14ac:dyDescent="0.45">
      <c r="B1" s="11"/>
      <c r="C1" s="11"/>
      <c r="D1" s="11"/>
      <c r="E1" s="11"/>
      <c r="F1" s="11"/>
      <c r="G1" s="77" t="s">
        <v>409</v>
      </c>
      <c r="H1" s="77"/>
      <c r="I1" s="77"/>
      <c r="J1" s="77"/>
      <c r="K1" s="77"/>
      <c r="L1" s="77"/>
      <c r="M1" s="77"/>
      <c r="N1" s="77"/>
      <c r="O1" s="20"/>
    </row>
    <row r="2" spans="2:22" s="21" customFormat="1" ht="20.25" x14ac:dyDescent="0.3">
      <c r="B2" s="67" t="s">
        <v>331</v>
      </c>
      <c r="C2" s="68"/>
      <c r="D2" s="68"/>
      <c r="E2" s="68"/>
      <c r="F2" s="69"/>
      <c r="G2" s="78" t="s">
        <v>332</v>
      </c>
      <c r="H2" s="84" t="s">
        <v>333</v>
      </c>
      <c r="I2" s="86" t="s">
        <v>334</v>
      </c>
      <c r="J2" s="80" t="s">
        <v>335</v>
      </c>
      <c r="K2" s="84" t="s">
        <v>423</v>
      </c>
      <c r="L2" s="84"/>
      <c r="M2" s="80" t="s">
        <v>337</v>
      </c>
      <c r="N2" s="82" t="s">
        <v>338</v>
      </c>
      <c r="O2" s="75" t="s">
        <v>163</v>
      </c>
      <c r="P2" s="73" t="s">
        <v>339</v>
      </c>
      <c r="Q2" s="57" t="s">
        <v>166</v>
      </c>
    </row>
    <row r="3" spans="2:22" s="59" customFormat="1" ht="20.25" x14ac:dyDescent="0.3">
      <c r="B3" s="70"/>
      <c r="C3" s="71"/>
      <c r="D3" s="71"/>
      <c r="E3" s="71"/>
      <c r="F3" s="72"/>
      <c r="G3" s="79"/>
      <c r="H3" s="85"/>
      <c r="I3" s="87"/>
      <c r="J3" s="81"/>
      <c r="K3" s="56" t="s">
        <v>212</v>
      </c>
      <c r="L3" s="56" t="s">
        <v>213</v>
      </c>
      <c r="M3" s="81"/>
      <c r="N3" s="83"/>
      <c r="O3" s="76"/>
      <c r="P3" s="74"/>
      <c r="Q3" s="58" t="s">
        <v>167</v>
      </c>
    </row>
    <row r="4" spans="2:22" s="21" customFormat="1" ht="19.5" x14ac:dyDescent="0.3">
      <c r="B4" s="16">
        <v>1</v>
      </c>
      <c r="C4" s="15" t="s">
        <v>177</v>
      </c>
      <c r="D4" s="15">
        <v>1</v>
      </c>
      <c r="E4" s="15" t="s">
        <v>177</v>
      </c>
      <c r="F4" s="14">
        <v>1</v>
      </c>
      <c r="G4" s="54" t="s">
        <v>412</v>
      </c>
      <c r="H4" s="2" t="s">
        <v>0</v>
      </c>
      <c r="I4" s="3" t="s">
        <v>1</v>
      </c>
      <c r="J4" s="4">
        <v>42683</v>
      </c>
      <c r="K4" s="4">
        <v>42585</v>
      </c>
      <c r="L4" s="4">
        <v>43314</v>
      </c>
      <c r="M4" s="4">
        <f t="shared" ref="M4:M35" ca="1" si="0">TODAY()</f>
        <v>42886</v>
      </c>
      <c r="N4" s="8">
        <f t="shared" ref="N4:N35" ca="1" si="1">INT((L4-M4)/30)</f>
        <v>14</v>
      </c>
      <c r="O4" s="19" t="s">
        <v>164</v>
      </c>
      <c r="P4" s="26"/>
      <c r="R4" s="60" t="s">
        <v>216</v>
      </c>
      <c r="S4" s="11"/>
      <c r="T4" s="11"/>
      <c r="U4" s="11"/>
      <c r="V4" s="11"/>
    </row>
    <row r="5" spans="2:22" s="21" customFormat="1" ht="19.5" x14ac:dyDescent="0.3">
      <c r="B5" s="16">
        <v>1</v>
      </c>
      <c r="C5" s="15" t="s">
        <v>413</v>
      </c>
      <c r="D5" s="15">
        <v>1</v>
      </c>
      <c r="E5" s="15" t="s">
        <v>413</v>
      </c>
      <c r="F5" s="14">
        <v>2</v>
      </c>
      <c r="G5" s="27" t="s">
        <v>464</v>
      </c>
      <c r="H5" s="2" t="s">
        <v>414</v>
      </c>
      <c r="I5" s="3" t="s">
        <v>415</v>
      </c>
      <c r="J5" s="4">
        <v>42380</v>
      </c>
      <c r="K5" s="4">
        <v>42346</v>
      </c>
      <c r="L5" s="4">
        <v>43076</v>
      </c>
      <c r="M5" s="4">
        <f ca="1">TODAY()</f>
        <v>42886</v>
      </c>
      <c r="N5" s="9">
        <f ca="1">INT((L5-M5)/30)</f>
        <v>6</v>
      </c>
      <c r="O5" s="19" t="s">
        <v>164</v>
      </c>
      <c r="P5" s="26"/>
      <c r="R5" s="60" t="s">
        <v>217</v>
      </c>
      <c r="S5" s="11"/>
      <c r="T5" s="11"/>
      <c r="U5" s="11"/>
      <c r="V5" s="11"/>
    </row>
    <row r="6" spans="2:22" s="21" customFormat="1" ht="19.5" x14ac:dyDescent="0.3">
      <c r="B6" s="16">
        <v>1</v>
      </c>
      <c r="C6" s="15" t="s">
        <v>178</v>
      </c>
      <c r="D6" s="15">
        <v>2</v>
      </c>
      <c r="E6" s="15" t="s">
        <v>178</v>
      </c>
      <c r="F6" s="14">
        <v>3</v>
      </c>
      <c r="G6" s="27" t="s">
        <v>465</v>
      </c>
      <c r="H6" s="2" t="s">
        <v>2</v>
      </c>
      <c r="I6" s="3" t="s">
        <v>3</v>
      </c>
      <c r="J6" s="4">
        <v>42706</v>
      </c>
      <c r="K6" s="4">
        <v>42681</v>
      </c>
      <c r="L6" s="4">
        <v>43410</v>
      </c>
      <c r="M6" s="4">
        <f ca="1">TODAY()</f>
        <v>42886</v>
      </c>
      <c r="N6" s="8">
        <f ca="1">INT((L6-M6)/30)</f>
        <v>17</v>
      </c>
      <c r="O6" s="19" t="s">
        <v>164</v>
      </c>
      <c r="P6" s="26"/>
      <c r="R6" s="60" t="s">
        <v>218</v>
      </c>
      <c r="S6" s="11"/>
      <c r="T6" s="11"/>
      <c r="U6" s="11"/>
      <c r="V6" s="11"/>
    </row>
    <row r="7" spans="2:22" s="21" customFormat="1" ht="19.5" x14ac:dyDescent="0.3">
      <c r="B7" s="16">
        <v>1</v>
      </c>
      <c r="C7" s="15" t="s">
        <v>178</v>
      </c>
      <c r="D7" s="15">
        <v>2</v>
      </c>
      <c r="E7" s="15" t="s">
        <v>178</v>
      </c>
      <c r="F7" s="14">
        <v>5</v>
      </c>
      <c r="G7" s="27" t="s">
        <v>466</v>
      </c>
      <c r="H7" s="2" t="s">
        <v>4</v>
      </c>
      <c r="I7" s="3" t="s">
        <v>5</v>
      </c>
      <c r="J7" s="4">
        <v>42706</v>
      </c>
      <c r="K7" s="4">
        <v>42681</v>
      </c>
      <c r="L7" s="4">
        <v>43410</v>
      </c>
      <c r="M7" s="4">
        <f ca="1">TODAY()</f>
        <v>42886</v>
      </c>
      <c r="N7" s="8">
        <f ca="1">INT((L7-M7)/30)</f>
        <v>17</v>
      </c>
      <c r="O7" s="19" t="s">
        <v>164</v>
      </c>
      <c r="P7" s="26"/>
      <c r="R7" s="60" t="s">
        <v>219</v>
      </c>
      <c r="S7" s="11"/>
      <c r="T7" s="11"/>
      <c r="U7" s="11"/>
      <c r="V7" s="11"/>
    </row>
    <row r="8" spans="2:22" s="21" customFormat="1" ht="19.5" x14ac:dyDescent="0.3">
      <c r="B8" s="16">
        <v>1</v>
      </c>
      <c r="C8" s="15" t="s">
        <v>178</v>
      </c>
      <c r="D8" s="15">
        <v>3</v>
      </c>
      <c r="E8" s="15" t="s">
        <v>178</v>
      </c>
      <c r="F8" s="14">
        <v>1</v>
      </c>
      <c r="G8" s="27" t="s">
        <v>467</v>
      </c>
      <c r="H8" s="2" t="s">
        <v>6</v>
      </c>
      <c r="I8" s="3" t="s">
        <v>7</v>
      </c>
      <c r="J8" s="4">
        <v>42683</v>
      </c>
      <c r="K8" s="4">
        <v>42585</v>
      </c>
      <c r="L8" s="4">
        <v>43314</v>
      </c>
      <c r="M8" s="4">
        <f ca="1">TODAY()</f>
        <v>42886</v>
      </c>
      <c r="N8" s="8">
        <f ca="1">INT((L8-M8)/30)</f>
        <v>14</v>
      </c>
      <c r="O8" s="19" t="s">
        <v>164</v>
      </c>
      <c r="P8" s="26"/>
      <c r="R8" s="60" t="s">
        <v>220</v>
      </c>
      <c r="S8" s="11"/>
      <c r="T8" s="11"/>
      <c r="U8" s="11"/>
      <c r="V8" s="11"/>
    </row>
    <row r="9" spans="2:22" s="21" customFormat="1" ht="19.5" x14ac:dyDescent="0.3">
      <c r="B9" s="16">
        <v>1</v>
      </c>
      <c r="C9" s="15" t="s">
        <v>178</v>
      </c>
      <c r="D9" s="15">
        <v>3</v>
      </c>
      <c r="E9" s="15" t="s">
        <v>178</v>
      </c>
      <c r="F9" s="14">
        <v>2</v>
      </c>
      <c r="G9" s="27" t="s">
        <v>468</v>
      </c>
      <c r="H9" s="2" t="s">
        <v>8</v>
      </c>
      <c r="I9" s="3" t="s">
        <v>9</v>
      </c>
      <c r="J9" s="4">
        <v>42380</v>
      </c>
      <c r="K9" s="4">
        <v>42346</v>
      </c>
      <c r="L9" s="4">
        <v>43076</v>
      </c>
      <c r="M9" s="4">
        <f ca="1">TODAY()</f>
        <v>42886</v>
      </c>
      <c r="N9" s="9">
        <f ca="1">INT((L9-M9)/30)</f>
        <v>6</v>
      </c>
      <c r="O9" s="19" t="s">
        <v>164</v>
      </c>
      <c r="P9" s="26"/>
      <c r="R9" s="60" t="s">
        <v>221</v>
      </c>
      <c r="S9" s="11"/>
      <c r="T9" s="11"/>
      <c r="U9" s="11"/>
      <c r="V9" s="11"/>
    </row>
    <row r="10" spans="2:22" s="21" customFormat="1" ht="19.5" x14ac:dyDescent="0.3">
      <c r="B10" s="16">
        <v>1</v>
      </c>
      <c r="C10" s="15" t="s">
        <v>178</v>
      </c>
      <c r="D10" s="15">
        <v>3</v>
      </c>
      <c r="E10" s="15" t="s">
        <v>178</v>
      </c>
      <c r="F10" s="14">
        <v>3</v>
      </c>
      <c r="G10" s="27" t="s">
        <v>469</v>
      </c>
      <c r="H10" s="2" t="s">
        <v>10</v>
      </c>
      <c r="I10" s="3" t="s">
        <v>11</v>
      </c>
      <c r="J10" s="4">
        <v>42706</v>
      </c>
      <c r="K10" s="4">
        <v>42681</v>
      </c>
      <c r="L10" s="4">
        <v>43410</v>
      </c>
      <c r="M10" s="4">
        <f ca="1">TODAY()</f>
        <v>42886</v>
      </c>
      <c r="N10" s="8">
        <f ca="1">INT((L10-M10)/30)</f>
        <v>17</v>
      </c>
      <c r="O10" s="19" t="s">
        <v>164</v>
      </c>
      <c r="P10" s="26"/>
      <c r="R10" s="60" t="s">
        <v>416</v>
      </c>
      <c r="S10" s="11"/>
      <c r="T10" s="11"/>
      <c r="U10" s="11"/>
      <c r="V10" s="11"/>
    </row>
    <row r="11" spans="2:22" s="21" customFormat="1" ht="19.5" x14ac:dyDescent="0.3">
      <c r="B11" s="16">
        <v>1</v>
      </c>
      <c r="C11" s="15" t="s">
        <v>178</v>
      </c>
      <c r="D11" s="15">
        <v>3</v>
      </c>
      <c r="E11" s="15" t="s">
        <v>178</v>
      </c>
      <c r="F11" s="14">
        <v>5</v>
      </c>
      <c r="G11" s="27" t="s">
        <v>470</v>
      </c>
      <c r="H11" s="2" t="s">
        <v>12</v>
      </c>
      <c r="I11" s="3" t="s">
        <v>13</v>
      </c>
      <c r="J11" s="4">
        <v>42706</v>
      </c>
      <c r="K11" s="4">
        <v>42681</v>
      </c>
      <c r="L11" s="4">
        <v>43410</v>
      </c>
      <c r="M11" s="4">
        <f ca="1">TODAY()</f>
        <v>42886</v>
      </c>
      <c r="N11" s="8">
        <f ca="1">INT((L11-M11)/30)</f>
        <v>17</v>
      </c>
      <c r="O11" s="19" t="s">
        <v>164</v>
      </c>
      <c r="P11" s="26"/>
      <c r="R11" s="60" t="s">
        <v>463</v>
      </c>
      <c r="S11" s="11"/>
      <c r="T11" s="11"/>
      <c r="U11" s="11"/>
      <c r="V11" s="11"/>
    </row>
    <row r="12" spans="2:22" s="21" customFormat="1" ht="19.5" x14ac:dyDescent="0.3">
      <c r="B12" s="16">
        <v>1</v>
      </c>
      <c r="C12" s="15" t="s">
        <v>178</v>
      </c>
      <c r="D12" s="15">
        <v>4</v>
      </c>
      <c r="E12" s="15" t="s">
        <v>178</v>
      </c>
      <c r="F12" s="14">
        <v>1</v>
      </c>
      <c r="G12" s="27" t="s">
        <v>471</v>
      </c>
      <c r="H12" s="2" t="s">
        <v>16</v>
      </c>
      <c r="I12" s="3" t="s">
        <v>17</v>
      </c>
      <c r="J12" s="4">
        <v>42597</v>
      </c>
      <c r="K12" s="4">
        <v>42457</v>
      </c>
      <c r="L12" s="4">
        <v>43186</v>
      </c>
      <c r="M12" s="4">
        <f ca="1">TODAY()</f>
        <v>42886</v>
      </c>
      <c r="N12" s="8">
        <f ca="1">INT((L12-M12)/30)</f>
        <v>10</v>
      </c>
      <c r="O12" s="19" t="s">
        <v>164</v>
      </c>
      <c r="P12" s="26"/>
      <c r="R12" s="60" t="s">
        <v>222</v>
      </c>
      <c r="S12" s="11"/>
      <c r="T12" s="11"/>
      <c r="U12" s="11"/>
      <c r="V12" s="11"/>
    </row>
    <row r="13" spans="2:22" s="21" customFormat="1" ht="19.5" x14ac:dyDescent="0.3">
      <c r="B13" s="16">
        <v>1</v>
      </c>
      <c r="C13" s="15" t="s">
        <v>178</v>
      </c>
      <c r="D13" s="15">
        <v>4</v>
      </c>
      <c r="E13" s="15" t="s">
        <v>178</v>
      </c>
      <c r="F13" s="14">
        <v>1</v>
      </c>
      <c r="G13" s="27" t="s">
        <v>472</v>
      </c>
      <c r="H13" s="2" t="s">
        <v>14</v>
      </c>
      <c r="I13" s="3" t="s">
        <v>15</v>
      </c>
      <c r="J13" s="4">
        <v>42597</v>
      </c>
      <c r="K13" s="4">
        <v>42496</v>
      </c>
      <c r="L13" s="4">
        <v>43225</v>
      </c>
      <c r="M13" s="4">
        <f ca="1">TODAY()</f>
        <v>42886</v>
      </c>
      <c r="N13" s="8">
        <f ca="1">INT((L13-M13)/30)</f>
        <v>11</v>
      </c>
      <c r="O13" s="19" t="s">
        <v>164</v>
      </c>
      <c r="P13" s="26"/>
      <c r="R13" s="60" t="s">
        <v>223</v>
      </c>
      <c r="S13" s="11"/>
      <c r="T13" s="11"/>
      <c r="U13" s="11"/>
      <c r="V13" s="11"/>
    </row>
    <row r="14" spans="2:22" s="21" customFormat="1" ht="19.5" x14ac:dyDescent="0.3">
      <c r="B14" s="16">
        <v>1</v>
      </c>
      <c r="C14" s="15" t="s">
        <v>178</v>
      </c>
      <c r="D14" s="15">
        <v>5</v>
      </c>
      <c r="E14" s="15" t="s">
        <v>178</v>
      </c>
      <c r="F14" s="14">
        <v>1</v>
      </c>
      <c r="G14" s="27" t="s">
        <v>473</v>
      </c>
      <c r="H14" s="2" t="s">
        <v>18</v>
      </c>
      <c r="I14" s="3" t="s">
        <v>19</v>
      </c>
      <c r="J14" s="4">
        <v>42597</v>
      </c>
      <c r="K14" s="4">
        <v>42457</v>
      </c>
      <c r="L14" s="4">
        <v>43186</v>
      </c>
      <c r="M14" s="4">
        <f ca="1">TODAY()</f>
        <v>42886</v>
      </c>
      <c r="N14" s="8">
        <f ca="1">INT((L14-M14)/30)</f>
        <v>10</v>
      </c>
      <c r="O14" s="19" t="s">
        <v>164</v>
      </c>
      <c r="P14" s="26"/>
      <c r="R14" s="60" t="s">
        <v>224</v>
      </c>
      <c r="S14" s="11"/>
      <c r="T14" s="11"/>
      <c r="U14" s="11"/>
      <c r="V14" s="11"/>
    </row>
    <row r="15" spans="2:22" s="21" customFormat="1" ht="19.5" x14ac:dyDescent="0.3">
      <c r="B15" s="16">
        <v>2</v>
      </c>
      <c r="C15" s="15" t="s">
        <v>178</v>
      </c>
      <c r="D15" s="15">
        <v>1</v>
      </c>
      <c r="E15" s="15" t="s">
        <v>178</v>
      </c>
      <c r="F15" s="14">
        <v>1</v>
      </c>
      <c r="G15" s="27" t="s">
        <v>474</v>
      </c>
      <c r="H15" s="2" t="s">
        <v>20</v>
      </c>
      <c r="I15" s="3" t="s">
        <v>21</v>
      </c>
      <c r="J15" s="4">
        <v>42286</v>
      </c>
      <c r="K15" s="4">
        <v>42270</v>
      </c>
      <c r="L15" s="4">
        <v>43001</v>
      </c>
      <c r="M15" s="4">
        <f ca="1">TODAY()</f>
        <v>42886</v>
      </c>
      <c r="N15" s="9">
        <f ca="1">INT((L15-M15)/30)</f>
        <v>3</v>
      </c>
      <c r="O15" s="19" t="s">
        <v>164</v>
      </c>
      <c r="P15" s="26"/>
      <c r="R15" s="60" t="s">
        <v>225</v>
      </c>
      <c r="S15" s="11"/>
      <c r="T15" s="11"/>
      <c r="U15" s="11"/>
      <c r="V15" s="11"/>
    </row>
    <row r="16" spans="2:22" s="21" customFormat="1" ht="19.5" x14ac:dyDescent="0.3">
      <c r="B16" s="16">
        <v>2</v>
      </c>
      <c r="C16" s="15" t="s">
        <v>178</v>
      </c>
      <c r="D16" s="15">
        <v>1</v>
      </c>
      <c r="E16" s="15" t="s">
        <v>178</v>
      </c>
      <c r="F16" s="14">
        <v>3</v>
      </c>
      <c r="G16" s="27" t="s">
        <v>474</v>
      </c>
      <c r="H16" s="2" t="s">
        <v>24</v>
      </c>
      <c r="I16" s="3" t="s">
        <v>25</v>
      </c>
      <c r="J16" s="4">
        <v>42625</v>
      </c>
      <c r="K16" s="4">
        <v>42496</v>
      </c>
      <c r="L16" s="4">
        <v>43225</v>
      </c>
      <c r="M16" s="4">
        <f ca="1">TODAY()</f>
        <v>42886</v>
      </c>
      <c r="N16" s="8">
        <f ca="1">INT((L16-M16)/30)</f>
        <v>11</v>
      </c>
      <c r="O16" s="19" t="s">
        <v>164</v>
      </c>
      <c r="P16" s="26"/>
      <c r="R16" s="60" t="s">
        <v>226</v>
      </c>
      <c r="S16" s="11"/>
      <c r="T16" s="11"/>
      <c r="U16" s="11"/>
      <c r="V16" s="11"/>
    </row>
    <row r="17" spans="2:22" s="21" customFormat="1" ht="19.5" x14ac:dyDescent="0.3">
      <c r="B17" s="16">
        <v>2</v>
      </c>
      <c r="C17" s="15" t="s">
        <v>178</v>
      </c>
      <c r="D17" s="15">
        <v>1</v>
      </c>
      <c r="E17" s="15" t="s">
        <v>178</v>
      </c>
      <c r="F17" s="14">
        <v>3</v>
      </c>
      <c r="G17" s="27" t="s">
        <v>474</v>
      </c>
      <c r="H17" s="2" t="s">
        <v>22</v>
      </c>
      <c r="I17" s="3" t="s">
        <v>23</v>
      </c>
      <c r="J17" s="4">
        <v>42625</v>
      </c>
      <c r="K17" s="4">
        <v>42496</v>
      </c>
      <c r="L17" s="4">
        <v>43225</v>
      </c>
      <c r="M17" s="4">
        <f ca="1">TODAY()</f>
        <v>42886</v>
      </c>
      <c r="N17" s="8">
        <f ca="1">INT((L17-M17)/30)</f>
        <v>11</v>
      </c>
      <c r="O17" s="19" t="s">
        <v>164</v>
      </c>
      <c r="P17" s="26"/>
      <c r="R17" s="60" t="s">
        <v>227</v>
      </c>
      <c r="S17" s="11"/>
      <c r="T17" s="11"/>
      <c r="U17" s="11"/>
      <c r="V17" s="11"/>
    </row>
    <row r="18" spans="2:22" s="21" customFormat="1" ht="19.5" x14ac:dyDescent="0.3">
      <c r="B18" s="16">
        <v>2</v>
      </c>
      <c r="C18" s="15" t="s">
        <v>178</v>
      </c>
      <c r="D18" s="15">
        <v>1</v>
      </c>
      <c r="E18" s="15" t="s">
        <v>178</v>
      </c>
      <c r="F18" s="14">
        <v>4</v>
      </c>
      <c r="G18" s="27" t="s">
        <v>475</v>
      </c>
      <c r="H18" s="2" t="s">
        <v>26</v>
      </c>
      <c r="I18" s="3" t="s">
        <v>27</v>
      </c>
      <c r="J18" s="4">
        <v>42706</v>
      </c>
      <c r="K18" s="4">
        <v>42681</v>
      </c>
      <c r="L18" s="4">
        <v>43410</v>
      </c>
      <c r="M18" s="4">
        <f ca="1">TODAY()</f>
        <v>42886</v>
      </c>
      <c r="N18" s="8">
        <f ca="1">INT((L18-M18)/30)</f>
        <v>17</v>
      </c>
      <c r="O18" s="19" t="s">
        <v>164</v>
      </c>
      <c r="P18" s="26"/>
    </row>
    <row r="19" spans="2:22" s="21" customFormat="1" ht="19.5" x14ac:dyDescent="0.3">
      <c r="B19" s="16">
        <v>2</v>
      </c>
      <c r="C19" s="15" t="s">
        <v>178</v>
      </c>
      <c r="D19" s="15">
        <v>2</v>
      </c>
      <c r="E19" s="15" t="s">
        <v>178</v>
      </c>
      <c r="F19" s="14">
        <v>1</v>
      </c>
      <c r="G19" s="27" t="s">
        <v>476</v>
      </c>
      <c r="H19" s="2" t="s">
        <v>477</v>
      </c>
      <c r="I19" s="3" t="s">
        <v>28</v>
      </c>
      <c r="J19" s="4">
        <v>42338</v>
      </c>
      <c r="K19" s="4">
        <v>42314</v>
      </c>
      <c r="L19" s="4">
        <v>43044</v>
      </c>
      <c r="M19" s="4">
        <f ca="1">TODAY()</f>
        <v>42886</v>
      </c>
      <c r="N19" s="9">
        <f ca="1">INT((L19-M19)/30)</f>
        <v>5</v>
      </c>
      <c r="O19" s="19" t="s">
        <v>164</v>
      </c>
      <c r="P19" s="26"/>
    </row>
    <row r="20" spans="2:22" s="21" customFormat="1" ht="19.5" x14ac:dyDescent="0.3">
      <c r="B20" s="16">
        <v>2</v>
      </c>
      <c r="C20" s="15" t="s">
        <v>178</v>
      </c>
      <c r="D20" s="15">
        <v>2</v>
      </c>
      <c r="E20" s="15" t="s">
        <v>178</v>
      </c>
      <c r="F20" s="14">
        <v>3</v>
      </c>
      <c r="G20" s="27" t="s">
        <v>478</v>
      </c>
      <c r="H20" s="2" t="s">
        <v>29</v>
      </c>
      <c r="I20" s="3" t="s">
        <v>30</v>
      </c>
      <c r="J20" s="4">
        <v>42706</v>
      </c>
      <c r="K20" s="4">
        <v>42681</v>
      </c>
      <c r="L20" s="4">
        <v>43410</v>
      </c>
      <c r="M20" s="4">
        <f ca="1">TODAY()</f>
        <v>42886</v>
      </c>
      <c r="N20" s="8">
        <f ca="1">INT((L20-M20)/30)</f>
        <v>17</v>
      </c>
      <c r="O20" s="19" t="s">
        <v>164</v>
      </c>
      <c r="P20" s="26"/>
    </row>
    <row r="21" spans="2:22" s="21" customFormat="1" ht="19.5" x14ac:dyDescent="0.3">
      <c r="B21" s="16">
        <v>2</v>
      </c>
      <c r="C21" s="15" t="s">
        <v>178</v>
      </c>
      <c r="D21" s="15">
        <v>3</v>
      </c>
      <c r="E21" s="15" t="s">
        <v>178</v>
      </c>
      <c r="F21" s="14">
        <v>1</v>
      </c>
      <c r="G21" s="27" t="s">
        <v>479</v>
      </c>
      <c r="H21" s="2" t="s">
        <v>480</v>
      </c>
      <c r="I21" s="3" t="s">
        <v>36</v>
      </c>
      <c r="J21" s="4">
        <v>42452</v>
      </c>
      <c r="K21" s="4">
        <v>42382</v>
      </c>
      <c r="L21" s="4">
        <v>43112</v>
      </c>
      <c r="M21" s="4">
        <f ca="1">TODAY()</f>
        <v>42886</v>
      </c>
      <c r="N21" s="8">
        <f ca="1">INT((L21-M21)/30)</f>
        <v>7</v>
      </c>
      <c r="O21" s="19" t="s">
        <v>164</v>
      </c>
      <c r="P21" s="26"/>
    </row>
    <row r="22" spans="2:22" s="21" customFormat="1" ht="19.5" x14ac:dyDescent="0.3">
      <c r="B22" s="16">
        <v>2</v>
      </c>
      <c r="C22" s="15" t="s">
        <v>178</v>
      </c>
      <c r="D22" s="15">
        <v>3</v>
      </c>
      <c r="E22" s="15" t="s">
        <v>178</v>
      </c>
      <c r="F22" s="14">
        <v>2</v>
      </c>
      <c r="G22" s="27" t="s">
        <v>481</v>
      </c>
      <c r="H22" s="2" t="s">
        <v>31</v>
      </c>
      <c r="I22" s="3" t="s">
        <v>32</v>
      </c>
      <c r="J22" s="4">
        <v>42338</v>
      </c>
      <c r="K22" s="4">
        <v>42314</v>
      </c>
      <c r="L22" s="4">
        <v>43044</v>
      </c>
      <c r="M22" s="4">
        <f ca="1">TODAY()</f>
        <v>42886</v>
      </c>
      <c r="N22" s="9">
        <f ca="1">INT((L22-M22)/30)</f>
        <v>5</v>
      </c>
      <c r="O22" s="19" t="s">
        <v>164</v>
      </c>
      <c r="P22" s="26"/>
    </row>
    <row r="23" spans="2:22" s="21" customFormat="1" ht="19.5" x14ac:dyDescent="0.3">
      <c r="B23" s="16">
        <v>2</v>
      </c>
      <c r="C23" s="15" t="s">
        <v>178</v>
      </c>
      <c r="D23" s="15">
        <v>3</v>
      </c>
      <c r="E23" s="15" t="s">
        <v>178</v>
      </c>
      <c r="F23" s="14">
        <v>3</v>
      </c>
      <c r="G23" s="27" t="s">
        <v>482</v>
      </c>
      <c r="H23" s="2" t="s">
        <v>33</v>
      </c>
      <c r="I23" s="3" t="s">
        <v>34</v>
      </c>
      <c r="J23" s="4">
        <v>42706</v>
      </c>
      <c r="K23" s="4">
        <v>42681</v>
      </c>
      <c r="L23" s="4">
        <v>43410</v>
      </c>
      <c r="M23" s="4">
        <f ca="1">TODAY()</f>
        <v>42886</v>
      </c>
      <c r="N23" s="8">
        <f ca="1">INT((L23-M23)/30)</f>
        <v>17</v>
      </c>
      <c r="O23" s="19" t="s">
        <v>164</v>
      </c>
      <c r="P23" s="26"/>
    </row>
    <row r="24" spans="2:22" s="21" customFormat="1" ht="19.5" x14ac:dyDescent="0.3">
      <c r="B24" s="16">
        <v>2</v>
      </c>
      <c r="C24" s="15" t="s">
        <v>178</v>
      </c>
      <c r="D24" s="15">
        <v>3</v>
      </c>
      <c r="E24" s="15" t="s">
        <v>178</v>
      </c>
      <c r="F24" s="14">
        <v>5</v>
      </c>
      <c r="G24" s="27" t="s">
        <v>483</v>
      </c>
      <c r="H24" s="2" t="s">
        <v>35</v>
      </c>
      <c r="I24" s="3" t="s">
        <v>211</v>
      </c>
      <c r="J24" s="4">
        <v>42706</v>
      </c>
      <c r="K24" s="4">
        <v>42681</v>
      </c>
      <c r="L24" s="4">
        <v>43410</v>
      </c>
      <c r="M24" s="4">
        <f ca="1">TODAY()</f>
        <v>42886</v>
      </c>
      <c r="N24" s="8">
        <f ca="1">INT((L24-M24)/30)</f>
        <v>17</v>
      </c>
      <c r="O24" s="19" t="s">
        <v>200</v>
      </c>
      <c r="P24" s="26"/>
    </row>
    <row r="25" spans="2:22" s="21" customFormat="1" ht="19.5" x14ac:dyDescent="0.3">
      <c r="B25" s="16">
        <v>2</v>
      </c>
      <c r="C25" s="15" t="s">
        <v>178</v>
      </c>
      <c r="D25" s="15">
        <v>4</v>
      </c>
      <c r="E25" s="15" t="s">
        <v>178</v>
      </c>
      <c r="F25" s="14">
        <v>1</v>
      </c>
      <c r="G25" s="27" t="s">
        <v>484</v>
      </c>
      <c r="H25" s="2" t="s">
        <v>37</v>
      </c>
      <c r="I25" s="3" t="s">
        <v>38</v>
      </c>
      <c r="J25" s="4">
        <v>42683</v>
      </c>
      <c r="K25" s="4">
        <v>42585</v>
      </c>
      <c r="L25" s="4">
        <v>43314</v>
      </c>
      <c r="M25" s="4">
        <f ca="1">TODAY()</f>
        <v>42886</v>
      </c>
      <c r="N25" s="8">
        <f ca="1">INT((L25-M25)/30)</f>
        <v>14</v>
      </c>
      <c r="O25" s="19" t="s">
        <v>164</v>
      </c>
      <c r="P25" s="26"/>
    </row>
    <row r="26" spans="2:22" s="21" customFormat="1" ht="19.5" x14ac:dyDescent="0.3">
      <c r="B26" s="16">
        <v>2</v>
      </c>
      <c r="C26" s="15" t="s">
        <v>178</v>
      </c>
      <c r="D26" s="15">
        <v>4</v>
      </c>
      <c r="E26" s="15" t="s">
        <v>178</v>
      </c>
      <c r="F26" s="14">
        <v>2</v>
      </c>
      <c r="G26" s="27" t="s">
        <v>485</v>
      </c>
      <c r="H26" s="2" t="s">
        <v>39</v>
      </c>
      <c r="I26" s="3" t="s">
        <v>40</v>
      </c>
      <c r="J26" s="4">
        <v>42338</v>
      </c>
      <c r="K26" s="4">
        <v>42314</v>
      </c>
      <c r="L26" s="4">
        <v>43044</v>
      </c>
      <c r="M26" s="4">
        <f ca="1">TODAY()</f>
        <v>42886</v>
      </c>
      <c r="N26" s="9">
        <f ca="1">INT((L26-M26)/30)</f>
        <v>5</v>
      </c>
      <c r="O26" s="19" t="s">
        <v>164</v>
      </c>
      <c r="P26" s="26"/>
    </row>
    <row r="27" spans="2:22" s="21" customFormat="1" ht="19.5" x14ac:dyDescent="0.3">
      <c r="B27" s="16">
        <v>2</v>
      </c>
      <c r="C27" s="15" t="s">
        <v>178</v>
      </c>
      <c r="D27" s="15">
        <v>4</v>
      </c>
      <c r="E27" s="15" t="s">
        <v>178</v>
      </c>
      <c r="F27" s="14">
        <v>3</v>
      </c>
      <c r="G27" s="27" t="s">
        <v>486</v>
      </c>
      <c r="H27" s="2" t="s">
        <v>41</v>
      </c>
      <c r="I27" s="3" t="s">
        <v>42</v>
      </c>
      <c r="J27" s="4">
        <v>42706</v>
      </c>
      <c r="K27" s="4">
        <v>42681</v>
      </c>
      <c r="L27" s="4">
        <v>43410</v>
      </c>
      <c r="M27" s="4">
        <f ca="1">TODAY()</f>
        <v>42886</v>
      </c>
      <c r="N27" s="8">
        <f ca="1">INT((L27-M27)/30)</f>
        <v>17</v>
      </c>
      <c r="O27" s="19" t="s">
        <v>164</v>
      </c>
      <c r="P27" s="26"/>
    </row>
    <row r="28" spans="2:22" s="21" customFormat="1" ht="19.5" x14ac:dyDescent="0.3">
      <c r="B28" s="16">
        <v>2</v>
      </c>
      <c r="C28" s="15" t="s">
        <v>178</v>
      </c>
      <c r="D28" s="15">
        <v>4</v>
      </c>
      <c r="E28" s="15" t="s">
        <v>178</v>
      </c>
      <c r="F28" s="14">
        <v>5</v>
      </c>
      <c r="G28" s="27" t="s">
        <v>487</v>
      </c>
      <c r="H28" s="2" t="s">
        <v>43</v>
      </c>
      <c r="I28" s="3" t="s">
        <v>44</v>
      </c>
      <c r="J28" s="4">
        <v>42706</v>
      </c>
      <c r="K28" s="4">
        <v>42681</v>
      </c>
      <c r="L28" s="4">
        <v>43410</v>
      </c>
      <c r="M28" s="4">
        <f ca="1">TODAY()</f>
        <v>42886</v>
      </c>
      <c r="N28" s="8">
        <f ca="1">INT((L28-M28)/30)</f>
        <v>17</v>
      </c>
      <c r="O28" s="19" t="s">
        <v>164</v>
      </c>
      <c r="P28" s="26"/>
    </row>
    <row r="29" spans="2:22" s="21" customFormat="1" ht="19.5" x14ac:dyDescent="0.3">
      <c r="B29" s="16">
        <v>2</v>
      </c>
      <c r="C29" s="15" t="s">
        <v>178</v>
      </c>
      <c r="D29" s="15">
        <v>5</v>
      </c>
      <c r="E29" s="15" t="s">
        <v>178</v>
      </c>
      <c r="F29" s="14">
        <v>1</v>
      </c>
      <c r="G29" s="27" t="s">
        <v>488</v>
      </c>
      <c r="H29" s="2" t="s">
        <v>45</v>
      </c>
      <c r="I29" s="3" t="s">
        <v>46</v>
      </c>
      <c r="J29" s="4">
        <v>42683</v>
      </c>
      <c r="K29" s="4">
        <v>42585</v>
      </c>
      <c r="L29" s="4">
        <v>43314</v>
      </c>
      <c r="M29" s="4">
        <f ca="1">TODAY()</f>
        <v>42886</v>
      </c>
      <c r="N29" s="8">
        <f ca="1">INT((L29-M29)/30)</f>
        <v>14</v>
      </c>
      <c r="O29" s="19" t="s">
        <v>164</v>
      </c>
      <c r="P29" s="26"/>
    </row>
    <row r="30" spans="2:22" s="21" customFormat="1" ht="19.5" x14ac:dyDescent="0.3">
      <c r="B30" s="16">
        <v>2</v>
      </c>
      <c r="C30" s="15" t="s">
        <v>178</v>
      </c>
      <c r="D30" s="15">
        <v>5</v>
      </c>
      <c r="E30" s="15" t="s">
        <v>178</v>
      </c>
      <c r="F30" s="14">
        <v>2</v>
      </c>
      <c r="G30" s="27" t="s">
        <v>421</v>
      </c>
      <c r="H30" s="2" t="s">
        <v>47</v>
      </c>
      <c r="I30" s="3" t="s">
        <v>48</v>
      </c>
      <c r="J30" s="4">
        <v>42338</v>
      </c>
      <c r="K30" s="4">
        <v>42314</v>
      </c>
      <c r="L30" s="4">
        <v>43044</v>
      </c>
      <c r="M30" s="4">
        <f ca="1">TODAY()</f>
        <v>42886</v>
      </c>
      <c r="N30" s="9">
        <f ca="1">INT((L30-M30)/30)</f>
        <v>5</v>
      </c>
      <c r="O30" s="19" t="s">
        <v>164</v>
      </c>
      <c r="P30" s="26"/>
    </row>
    <row r="31" spans="2:22" s="21" customFormat="1" ht="19.5" x14ac:dyDescent="0.3">
      <c r="B31" s="16">
        <v>2</v>
      </c>
      <c r="C31" s="15" t="s">
        <v>178</v>
      </c>
      <c r="D31" s="15">
        <v>5</v>
      </c>
      <c r="E31" s="15" t="s">
        <v>178</v>
      </c>
      <c r="F31" s="14">
        <v>3</v>
      </c>
      <c r="G31" s="27" t="s">
        <v>430</v>
      </c>
      <c r="H31" s="2" t="s">
        <v>49</v>
      </c>
      <c r="I31" s="3" t="s">
        <v>50</v>
      </c>
      <c r="J31" s="4">
        <v>42706</v>
      </c>
      <c r="K31" s="4">
        <v>42681</v>
      </c>
      <c r="L31" s="4">
        <v>43410</v>
      </c>
      <c r="M31" s="4">
        <f ca="1">TODAY()</f>
        <v>42886</v>
      </c>
      <c r="N31" s="8">
        <f ca="1">INT((L31-M31)/30)</f>
        <v>17</v>
      </c>
      <c r="O31" s="19" t="s">
        <v>164</v>
      </c>
      <c r="P31" s="26"/>
    </row>
    <row r="32" spans="2:22" s="21" customFormat="1" ht="19.5" x14ac:dyDescent="0.3">
      <c r="B32" s="16">
        <v>2</v>
      </c>
      <c r="C32" s="15" t="s">
        <v>178</v>
      </c>
      <c r="D32" s="15">
        <v>5</v>
      </c>
      <c r="E32" s="15" t="s">
        <v>178</v>
      </c>
      <c r="F32" s="14">
        <v>5</v>
      </c>
      <c r="G32" s="27" t="s">
        <v>431</v>
      </c>
      <c r="H32" s="2" t="s">
        <v>204</v>
      </c>
      <c r="I32" s="3" t="s">
        <v>51</v>
      </c>
      <c r="J32" s="4">
        <v>42706</v>
      </c>
      <c r="K32" s="4">
        <v>42681</v>
      </c>
      <c r="L32" s="4">
        <v>43410</v>
      </c>
      <c r="M32" s="4">
        <f ca="1">TODAY()</f>
        <v>42886</v>
      </c>
      <c r="N32" s="8">
        <f ca="1">INT((L32-M32)/30)</f>
        <v>17</v>
      </c>
      <c r="O32" s="19" t="s">
        <v>164</v>
      </c>
      <c r="P32" s="26"/>
    </row>
    <row r="33" spans="2:16" s="21" customFormat="1" ht="19.5" x14ac:dyDescent="0.3">
      <c r="B33" s="16">
        <v>2</v>
      </c>
      <c r="C33" s="15" t="s">
        <v>178</v>
      </c>
      <c r="D33" s="15">
        <v>6</v>
      </c>
      <c r="E33" s="15" t="s">
        <v>178</v>
      </c>
      <c r="F33" s="14">
        <v>1</v>
      </c>
      <c r="G33" s="27" t="s">
        <v>432</v>
      </c>
      <c r="H33" s="2" t="s">
        <v>52</v>
      </c>
      <c r="I33" s="3" t="s">
        <v>53</v>
      </c>
      <c r="J33" s="4">
        <v>42683</v>
      </c>
      <c r="K33" s="4">
        <v>42585</v>
      </c>
      <c r="L33" s="4">
        <v>43314</v>
      </c>
      <c r="M33" s="4">
        <f ca="1">TODAY()</f>
        <v>42886</v>
      </c>
      <c r="N33" s="8">
        <f ca="1">INT((L33-M33)/30)</f>
        <v>14</v>
      </c>
      <c r="O33" s="19" t="s">
        <v>164</v>
      </c>
      <c r="P33" s="26"/>
    </row>
    <row r="34" spans="2:16" s="21" customFormat="1" ht="19.5" x14ac:dyDescent="0.3">
      <c r="B34" s="16">
        <v>2</v>
      </c>
      <c r="C34" s="15" t="s">
        <v>178</v>
      </c>
      <c r="D34" s="15">
        <v>6</v>
      </c>
      <c r="E34" s="15" t="s">
        <v>178</v>
      </c>
      <c r="F34" s="14">
        <v>2</v>
      </c>
      <c r="G34" s="27" t="s">
        <v>410</v>
      </c>
      <c r="H34" s="2" t="s">
        <v>54</v>
      </c>
      <c r="I34" s="3" t="s">
        <v>55</v>
      </c>
      <c r="J34" s="4">
        <v>42338</v>
      </c>
      <c r="K34" s="4">
        <v>42314</v>
      </c>
      <c r="L34" s="4">
        <v>43044</v>
      </c>
      <c r="M34" s="4">
        <f ca="1">TODAY()</f>
        <v>42886</v>
      </c>
      <c r="N34" s="9">
        <f ca="1">INT((L34-M34)/30)</f>
        <v>5</v>
      </c>
      <c r="O34" s="19" t="s">
        <v>164</v>
      </c>
      <c r="P34" s="26"/>
    </row>
    <row r="35" spans="2:16" s="21" customFormat="1" ht="19.5" x14ac:dyDescent="0.3">
      <c r="B35" s="16">
        <v>2</v>
      </c>
      <c r="C35" s="15" t="s">
        <v>178</v>
      </c>
      <c r="D35" s="15">
        <v>6</v>
      </c>
      <c r="E35" s="15" t="s">
        <v>178</v>
      </c>
      <c r="F35" s="14">
        <v>3</v>
      </c>
      <c r="G35" s="27" t="s">
        <v>433</v>
      </c>
      <c r="H35" s="2" t="s">
        <v>56</v>
      </c>
      <c r="I35" s="3" t="s">
        <v>57</v>
      </c>
      <c r="J35" s="4">
        <v>42683</v>
      </c>
      <c r="K35" s="4">
        <v>42585</v>
      </c>
      <c r="L35" s="4">
        <v>43314</v>
      </c>
      <c r="M35" s="4">
        <f ca="1">TODAY()</f>
        <v>42886</v>
      </c>
      <c r="N35" s="8">
        <f ca="1">INT((L35-M35)/30)</f>
        <v>14</v>
      </c>
      <c r="O35" s="19" t="s">
        <v>164</v>
      </c>
      <c r="P35" s="26"/>
    </row>
    <row r="36" spans="2:16" s="21" customFormat="1" ht="19.5" x14ac:dyDescent="0.3">
      <c r="B36" s="16">
        <v>2</v>
      </c>
      <c r="C36" s="15" t="s">
        <v>178</v>
      </c>
      <c r="D36" s="15">
        <v>6</v>
      </c>
      <c r="E36" s="15" t="s">
        <v>178</v>
      </c>
      <c r="F36" s="14">
        <v>5</v>
      </c>
      <c r="G36" s="27" t="s">
        <v>434</v>
      </c>
      <c r="H36" s="2" t="s">
        <v>205</v>
      </c>
      <c r="I36" s="3" t="s">
        <v>58</v>
      </c>
      <c r="J36" s="4">
        <v>42706</v>
      </c>
      <c r="K36" s="4">
        <v>42681</v>
      </c>
      <c r="L36" s="4">
        <v>43410</v>
      </c>
      <c r="M36" s="4">
        <f ca="1">TODAY()</f>
        <v>42886</v>
      </c>
      <c r="N36" s="8">
        <f ca="1">INT((L36-M36)/30)</f>
        <v>17</v>
      </c>
      <c r="O36" s="19" t="s">
        <v>164</v>
      </c>
      <c r="P36" s="26"/>
    </row>
    <row r="37" spans="2:16" s="21" customFormat="1" ht="19.5" x14ac:dyDescent="0.3">
      <c r="B37" s="16">
        <v>2</v>
      </c>
      <c r="C37" s="15" t="s">
        <v>178</v>
      </c>
      <c r="D37" s="15">
        <v>6</v>
      </c>
      <c r="E37" s="15" t="s">
        <v>178</v>
      </c>
      <c r="F37" s="14">
        <v>7</v>
      </c>
      <c r="G37" s="27" t="s">
        <v>435</v>
      </c>
      <c r="H37" s="2" t="s">
        <v>59</v>
      </c>
      <c r="I37" s="3" t="s">
        <v>60</v>
      </c>
      <c r="J37" s="4">
        <v>42706</v>
      </c>
      <c r="K37" s="4">
        <v>42681</v>
      </c>
      <c r="L37" s="4">
        <v>42680</v>
      </c>
      <c r="M37" s="4">
        <f ca="1">TODAY()</f>
        <v>42886</v>
      </c>
      <c r="N37" s="12">
        <f ca="1">INT((L37-M37)/30)</f>
        <v>-7</v>
      </c>
      <c r="O37" s="19" t="s">
        <v>164</v>
      </c>
      <c r="P37" s="26"/>
    </row>
    <row r="38" spans="2:16" s="21" customFormat="1" ht="19.5" x14ac:dyDescent="0.3">
      <c r="B38" s="16">
        <v>2</v>
      </c>
      <c r="C38" s="15" t="s">
        <v>237</v>
      </c>
      <c r="D38" s="15">
        <v>6</v>
      </c>
      <c r="E38" s="15" t="s">
        <v>237</v>
      </c>
      <c r="F38" s="14">
        <v>8</v>
      </c>
      <c r="G38" s="18" t="s">
        <v>228</v>
      </c>
      <c r="H38" s="2" t="s">
        <v>229</v>
      </c>
      <c r="I38" s="3" t="s">
        <v>230</v>
      </c>
      <c r="J38" s="4">
        <v>42878</v>
      </c>
      <c r="K38" s="4">
        <v>42857</v>
      </c>
      <c r="L38" s="4">
        <v>43586</v>
      </c>
      <c r="M38" s="4">
        <f ca="1">TODAY()</f>
        <v>42886</v>
      </c>
      <c r="N38" s="8">
        <f ca="1">INT((L38-M38)/30)</f>
        <v>23</v>
      </c>
      <c r="O38" s="19" t="s">
        <v>164</v>
      </c>
      <c r="P38" s="26"/>
    </row>
    <row r="39" spans="2:16" s="21" customFormat="1" ht="19.5" x14ac:dyDescent="0.3">
      <c r="B39" s="16">
        <v>2</v>
      </c>
      <c r="C39" s="15" t="s">
        <v>178</v>
      </c>
      <c r="D39" s="15">
        <v>8</v>
      </c>
      <c r="E39" s="15" t="s">
        <v>178</v>
      </c>
      <c r="F39" s="14">
        <v>2</v>
      </c>
      <c r="G39" s="27" t="s">
        <v>436</v>
      </c>
      <c r="H39" s="2" t="s">
        <v>61</v>
      </c>
      <c r="I39" s="3" t="s">
        <v>62</v>
      </c>
      <c r="J39" s="4">
        <v>42683</v>
      </c>
      <c r="K39" s="4">
        <v>42585</v>
      </c>
      <c r="L39" s="4">
        <v>43314</v>
      </c>
      <c r="M39" s="4">
        <f ca="1">TODAY()</f>
        <v>42886</v>
      </c>
      <c r="N39" s="8">
        <f ca="1">INT((L39-M39)/30)</f>
        <v>14</v>
      </c>
      <c r="O39" s="19" t="s">
        <v>164</v>
      </c>
      <c r="P39" s="26"/>
    </row>
    <row r="40" spans="2:16" s="21" customFormat="1" ht="19.5" x14ac:dyDescent="0.3">
      <c r="B40" s="16">
        <v>2</v>
      </c>
      <c r="C40" s="15" t="s">
        <v>178</v>
      </c>
      <c r="D40" s="15">
        <v>8</v>
      </c>
      <c r="E40" s="15" t="s">
        <v>178</v>
      </c>
      <c r="F40" s="14">
        <v>4</v>
      </c>
      <c r="G40" s="27" t="s">
        <v>437</v>
      </c>
      <c r="H40" s="2" t="s">
        <v>63</v>
      </c>
      <c r="I40" s="3" t="s">
        <v>64</v>
      </c>
      <c r="J40" s="4">
        <v>42706</v>
      </c>
      <c r="K40" s="4">
        <v>42681</v>
      </c>
      <c r="L40" s="4">
        <v>42680</v>
      </c>
      <c r="M40" s="4">
        <f ca="1">TODAY()</f>
        <v>42886</v>
      </c>
      <c r="N40" s="12">
        <f ca="1">INT((L40-M40)/30)</f>
        <v>-7</v>
      </c>
      <c r="O40" s="19" t="s">
        <v>176</v>
      </c>
      <c r="P40" s="26"/>
    </row>
    <row r="41" spans="2:16" s="21" customFormat="1" ht="19.5" x14ac:dyDescent="0.3">
      <c r="B41" s="16">
        <v>3</v>
      </c>
      <c r="C41" s="15" t="s">
        <v>178</v>
      </c>
      <c r="D41" s="15">
        <v>1</v>
      </c>
      <c r="E41" s="15" t="s">
        <v>178</v>
      </c>
      <c r="F41" s="14">
        <v>1</v>
      </c>
      <c r="G41" s="27" t="s">
        <v>438</v>
      </c>
      <c r="H41" s="2" t="s">
        <v>206</v>
      </c>
      <c r="I41" s="3" t="s">
        <v>65</v>
      </c>
      <c r="J41" s="4">
        <v>40560</v>
      </c>
      <c r="K41" s="4">
        <v>40560</v>
      </c>
      <c r="L41" s="4">
        <v>43482</v>
      </c>
      <c r="M41" s="4">
        <f ca="1">TODAY()</f>
        <v>42886</v>
      </c>
      <c r="N41" s="8">
        <f ca="1">INT((L41-M41)/30)</f>
        <v>19</v>
      </c>
      <c r="O41" s="19" t="s">
        <v>164</v>
      </c>
      <c r="P41" s="26"/>
    </row>
    <row r="42" spans="2:16" s="21" customFormat="1" ht="19.5" x14ac:dyDescent="0.3">
      <c r="B42" s="16">
        <v>3</v>
      </c>
      <c r="C42" s="15" t="s">
        <v>178</v>
      </c>
      <c r="D42" s="15">
        <v>1</v>
      </c>
      <c r="E42" s="15" t="s">
        <v>178</v>
      </c>
      <c r="F42" s="14">
        <v>1</v>
      </c>
      <c r="G42" s="27" t="s">
        <v>439</v>
      </c>
      <c r="H42" s="2" t="s">
        <v>131</v>
      </c>
      <c r="I42" s="3" t="s">
        <v>132</v>
      </c>
      <c r="J42" s="4">
        <v>40560</v>
      </c>
      <c r="K42" s="4">
        <v>40560</v>
      </c>
      <c r="L42" s="4">
        <v>43482</v>
      </c>
      <c r="M42" s="4">
        <f ca="1">TODAY()</f>
        <v>42886</v>
      </c>
      <c r="N42" s="8">
        <f ca="1">INT((L42-M42)/30)</f>
        <v>19</v>
      </c>
      <c r="O42" s="19" t="s">
        <v>164</v>
      </c>
      <c r="P42" s="26"/>
    </row>
    <row r="43" spans="2:16" s="21" customFormat="1" ht="19.5" x14ac:dyDescent="0.3">
      <c r="B43" s="16">
        <v>3</v>
      </c>
      <c r="C43" s="15" t="s">
        <v>178</v>
      </c>
      <c r="D43" s="15">
        <v>1</v>
      </c>
      <c r="E43" s="15" t="s">
        <v>178</v>
      </c>
      <c r="F43" s="14">
        <v>1</v>
      </c>
      <c r="G43" s="27" t="s">
        <v>439</v>
      </c>
      <c r="H43" s="2" t="s">
        <v>203</v>
      </c>
      <c r="I43" s="3" t="s">
        <v>119</v>
      </c>
      <c r="J43" s="4">
        <v>41271</v>
      </c>
      <c r="K43" s="4">
        <v>41271</v>
      </c>
      <c r="L43" s="4">
        <v>44193</v>
      </c>
      <c r="M43" s="4">
        <f ca="1">TODAY()</f>
        <v>42886</v>
      </c>
      <c r="N43" s="8">
        <f ca="1">INT((L43-M43)/30)</f>
        <v>43</v>
      </c>
      <c r="O43" s="19" t="s">
        <v>164</v>
      </c>
      <c r="P43" s="26"/>
    </row>
    <row r="44" spans="2:16" s="21" customFormat="1" ht="19.5" x14ac:dyDescent="0.3">
      <c r="B44" s="16">
        <v>3</v>
      </c>
      <c r="C44" s="15" t="s">
        <v>178</v>
      </c>
      <c r="D44" s="15">
        <v>1</v>
      </c>
      <c r="E44" s="15" t="s">
        <v>178</v>
      </c>
      <c r="F44" s="14">
        <v>1</v>
      </c>
      <c r="G44" s="27" t="s">
        <v>438</v>
      </c>
      <c r="H44" s="2" t="s">
        <v>117</v>
      </c>
      <c r="I44" s="3" t="s">
        <v>118</v>
      </c>
      <c r="J44" s="4">
        <v>41271</v>
      </c>
      <c r="K44" s="4">
        <v>41271</v>
      </c>
      <c r="L44" s="4">
        <v>44193</v>
      </c>
      <c r="M44" s="4">
        <f ca="1">TODAY()</f>
        <v>42886</v>
      </c>
      <c r="N44" s="8">
        <f ca="1">INT((L44-M44)/30)</f>
        <v>43</v>
      </c>
      <c r="O44" s="19" t="s">
        <v>164</v>
      </c>
      <c r="P44" s="26"/>
    </row>
    <row r="45" spans="2:16" s="21" customFormat="1" ht="19.5" x14ac:dyDescent="0.3">
      <c r="B45" s="16">
        <v>3</v>
      </c>
      <c r="C45" s="15" t="s">
        <v>178</v>
      </c>
      <c r="D45" s="15">
        <v>1</v>
      </c>
      <c r="E45" s="15" t="s">
        <v>178</v>
      </c>
      <c r="F45" s="14">
        <v>3</v>
      </c>
      <c r="G45" s="27" t="s">
        <v>440</v>
      </c>
      <c r="H45" s="2" t="s">
        <v>94</v>
      </c>
      <c r="I45" s="3" t="s">
        <v>95</v>
      </c>
      <c r="J45" s="4">
        <v>42269</v>
      </c>
      <c r="K45" s="4">
        <v>42206</v>
      </c>
      <c r="L45" s="4">
        <v>42937</v>
      </c>
      <c r="M45" s="4">
        <f ca="1">TODAY()</f>
        <v>42886</v>
      </c>
      <c r="N45" s="9">
        <f ca="1">INT((L45-M45)/30)</f>
        <v>1</v>
      </c>
      <c r="O45" s="19" t="s">
        <v>165</v>
      </c>
      <c r="P45" s="26"/>
    </row>
    <row r="46" spans="2:16" s="21" customFormat="1" ht="19.5" x14ac:dyDescent="0.3">
      <c r="B46" s="16">
        <v>3</v>
      </c>
      <c r="C46" s="15" t="s">
        <v>178</v>
      </c>
      <c r="D46" s="15">
        <v>1</v>
      </c>
      <c r="E46" s="15" t="s">
        <v>178</v>
      </c>
      <c r="F46" s="14">
        <v>3</v>
      </c>
      <c r="G46" s="27" t="s">
        <v>440</v>
      </c>
      <c r="H46" s="2" t="s">
        <v>210</v>
      </c>
      <c r="I46" s="3" t="s">
        <v>96</v>
      </c>
      <c r="J46" s="4">
        <v>42269</v>
      </c>
      <c r="K46" s="4">
        <v>42206</v>
      </c>
      <c r="L46" s="4">
        <v>42937</v>
      </c>
      <c r="M46" s="4">
        <f ca="1">TODAY()</f>
        <v>42886</v>
      </c>
      <c r="N46" s="9">
        <f ca="1">INT((L46-M46)/30)</f>
        <v>1</v>
      </c>
      <c r="O46" s="19" t="s">
        <v>164</v>
      </c>
      <c r="P46" s="26"/>
    </row>
    <row r="47" spans="2:16" s="21" customFormat="1" ht="19.5" x14ac:dyDescent="0.3">
      <c r="B47" s="16">
        <v>3</v>
      </c>
      <c r="C47" s="15" t="s">
        <v>178</v>
      </c>
      <c r="D47" s="15">
        <v>1</v>
      </c>
      <c r="E47" s="15" t="s">
        <v>178</v>
      </c>
      <c r="F47" s="14">
        <v>3</v>
      </c>
      <c r="G47" s="27" t="s">
        <v>440</v>
      </c>
      <c r="H47" s="2" t="s">
        <v>99</v>
      </c>
      <c r="I47" s="3" t="s">
        <v>100</v>
      </c>
      <c r="J47" s="4">
        <v>42269</v>
      </c>
      <c r="K47" s="4">
        <v>42206</v>
      </c>
      <c r="L47" s="4">
        <v>42937</v>
      </c>
      <c r="M47" s="4">
        <f ca="1">TODAY()</f>
        <v>42886</v>
      </c>
      <c r="N47" s="9">
        <f ca="1">INT((L47-M47)/30)</f>
        <v>1</v>
      </c>
      <c r="O47" s="19" t="s">
        <v>164</v>
      </c>
      <c r="P47" s="26"/>
    </row>
    <row r="48" spans="2:16" s="21" customFormat="1" ht="19.5" x14ac:dyDescent="0.3">
      <c r="B48" s="16">
        <v>3</v>
      </c>
      <c r="C48" s="15" t="s">
        <v>178</v>
      </c>
      <c r="D48" s="15">
        <v>1</v>
      </c>
      <c r="E48" s="15" t="s">
        <v>178</v>
      </c>
      <c r="F48" s="14">
        <v>3</v>
      </c>
      <c r="G48" s="27" t="s">
        <v>440</v>
      </c>
      <c r="H48" s="2" t="s">
        <v>97</v>
      </c>
      <c r="I48" s="3" t="s">
        <v>98</v>
      </c>
      <c r="J48" s="4">
        <v>42269</v>
      </c>
      <c r="K48" s="4">
        <v>42206</v>
      </c>
      <c r="L48" s="4">
        <v>42937</v>
      </c>
      <c r="M48" s="4">
        <f ca="1">TODAY()</f>
        <v>42886</v>
      </c>
      <c r="N48" s="9">
        <f ca="1">INT((L48-M48)/30)</f>
        <v>1</v>
      </c>
      <c r="O48" s="19" t="s">
        <v>164</v>
      </c>
      <c r="P48" s="26"/>
    </row>
    <row r="49" spans="2:16" s="21" customFormat="1" ht="19.5" x14ac:dyDescent="0.3">
      <c r="B49" s="16">
        <v>3</v>
      </c>
      <c r="C49" s="15" t="s">
        <v>178</v>
      </c>
      <c r="D49" s="15">
        <v>1</v>
      </c>
      <c r="E49" s="15" t="s">
        <v>178</v>
      </c>
      <c r="F49" s="14">
        <v>3</v>
      </c>
      <c r="G49" s="27" t="s">
        <v>440</v>
      </c>
      <c r="H49" s="2" t="s">
        <v>93</v>
      </c>
      <c r="I49" s="3" t="s">
        <v>68</v>
      </c>
      <c r="J49" s="4">
        <v>42269</v>
      </c>
      <c r="K49" s="4">
        <v>42206</v>
      </c>
      <c r="L49" s="4">
        <v>42937</v>
      </c>
      <c r="M49" s="4">
        <f ca="1">TODAY()</f>
        <v>42886</v>
      </c>
      <c r="N49" s="9">
        <f ca="1">INT((L49-M49)/30)</f>
        <v>1</v>
      </c>
      <c r="O49" s="19" t="s">
        <v>164</v>
      </c>
      <c r="P49" s="26"/>
    </row>
    <row r="50" spans="2:16" s="21" customFormat="1" ht="19.5" x14ac:dyDescent="0.3">
      <c r="B50" s="16">
        <v>3</v>
      </c>
      <c r="C50" s="15" t="s">
        <v>178</v>
      </c>
      <c r="D50" s="15">
        <v>1</v>
      </c>
      <c r="E50" s="15" t="s">
        <v>178</v>
      </c>
      <c r="F50" s="14">
        <v>3</v>
      </c>
      <c r="G50" s="27" t="s">
        <v>440</v>
      </c>
      <c r="H50" s="2" t="s">
        <v>101</v>
      </c>
      <c r="I50" s="3" t="s">
        <v>102</v>
      </c>
      <c r="J50" s="4">
        <v>42269</v>
      </c>
      <c r="K50" s="4">
        <v>42206</v>
      </c>
      <c r="L50" s="4">
        <v>42937</v>
      </c>
      <c r="M50" s="4">
        <f ca="1">TODAY()</f>
        <v>42886</v>
      </c>
      <c r="N50" s="9">
        <f ca="1">INT((L50-M50)/30)</f>
        <v>1</v>
      </c>
      <c r="O50" s="19" t="s">
        <v>164</v>
      </c>
      <c r="P50" s="26"/>
    </row>
    <row r="51" spans="2:16" s="21" customFormat="1" ht="19.5" x14ac:dyDescent="0.3">
      <c r="B51" s="16">
        <v>3</v>
      </c>
      <c r="C51" s="15" t="s">
        <v>178</v>
      </c>
      <c r="D51" s="15">
        <v>1</v>
      </c>
      <c r="E51" s="15" t="s">
        <v>178</v>
      </c>
      <c r="F51" s="14">
        <v>3</v>
      </c>
      <c r="G51" s="27" t="s">
        <v>440</v>
      </c>
      <c r="H51" s="2" t="s">
        <v>103</v>
      </c>
      <c r="I51" s="3" t="s">
        <v>104</v>
      </c>
      <c r="J51" s="4">
        <v>42269</v>
      </c>
      <c r="K51" s="4">
        <v>42206</v>
      </c>
      <c r="L51" s="4">
        <v>42937</v>
      </c>
      <c r="M51" s="4">
        <f ca="1">TODAY()</f>
        <v>42886</v>
      </c>
      <c r="N51" s="9">
        <f ca="1">INT((L51-M51)/30)</f>
        <v>1</v>
      </c>
      <c r="O51" s="19" t="s">
        <v>164</v>
      </c>
      <c r="P51" s="26"/>
    </row>
    <row r="52" spans="2:16" s="21" customFormat="1" ht="19.5" x14ac:dyDescent="0.3">
      <c r="B52" s="16">
        <v>3</v>
      </c>
      <c r="C52" s="15" t="s">
        <v>178</v>
      </c>
      <c r="D52" s="15">
        <v>1</v>
      </c>
      <c r="E52" s="15" t="s">
        <v>178</v>
      </c>
      <c r="F52" s="14">
        <v>3</v>
      </c>
      <c r="G52" s="27" t="s">
        <v>440</v>
      </c>
      <c r="H52" s="2" t="s">
        <v>105</v>
      </c>
      <c r="I52" s="3" t="s">
        <v>106</v>
      </c>
      <c r="J52" s="4">
        <v>42269</v>
      </c>
      <c r="K52" s="4">
        <v>42206</v>
      </c>
      <c r="L52" s="4">
        <v>42937</v>
      </c>
      <c r="M52" s="4">
        <f ca="1">TODAY()</f>
        <v>42886</v>
      </c>
      <c r="N52" s="9">
        <f ca="1">INT((L52-M52)/30)</f>
        <v>1</v>
      </c>
      <c r="O52" s="19" t="s">
        <v>164</v>
      </c>
      <c r="P52" s="26"/>
    </row>
    <row r="53" spans="2:16" s="21" customFormat="1" ht="19.5" x14ac:dyDescent="0.3">
      <c r="B53" s="16">
        <v>3</v>
      </c>
      <c r="C53" s="15" t="s">
        <v>178</v>
      </c>
      <c r="D53" s="15">
        <v>1</v>
      </c>
      <c r="E53" s="15" t="s">
        <v>178</v>
      </c>
      <c r="F53" s="14">
        <v>3</v>
      </c>
      <c r="G53" s="27" t="s">
        <v>440</v>
      </c>
      <c r="H53" s="2" t="s">
        <v>107</v>
      </c>
      <c r="I53" s="3" t="s">
        <v>108</v>
      </c>
      <c r="J53" s="4">
        <v>42269</v>
      </c>
      <c r="K53" s="4">
        <v>42206</v>
      </c>
      <c r="L53" s="4">
        <v>42937</v>
      </c>
      <c r="M53" s="4">
        <f ca="1">TODAY()</f>
        <v>42886</v>
      </c>
      <c r="N53" s="9">
        <f ca="1">INT((L53-M53)/30)</f>
        <v>1</v>
      </c>
      <c r="O53" s="19" t="s">
        <v>164</v>
      </c>
      <c r="P53" s="26"/>
    </row>
    <row r="54" spans="2:16" s="21" customFormat="1" ht="19.5" x14ac:dyDescent="0.3">
      <c r="B54" s="16">
        <v>3</v>
      </c>
      <c r="C54" s="15" t="s">
        <v>178</v>
      </c>
      <c r="D54" s="15">
        <v>1</v>
      </c>
      <c r="E54" s="15" t="s">
        <v>178</v>
      </c>
      <c r="F54" s="14">
        <v>3</v>
      </c>
      <c r="G54" s="27" t="s">
        <v>440</v>
      </c>
      <c r="H54" s="2" t="s">
        <v>115</v>
      </c>
      <c r="I54" s="3" t="s">
        <v>116</v>
      </c>
      <c r="J54" s="4">
        <v>42269</v>
      </c>
      <c r="K54" s="4">
        <v>42206</v>
      </c>
      <c r="L54" s="4">
        <v>42937</v>
      </c>
      <c r="M54" s="4">
        <f ca="1">TODAY()</f>
        <v>42886</v>
      </c>
      <c r="N54" s="9">
        <f ca="1">INT((L54-M54)/30)</f>
        <v>1</v>
      </c>
      <c r="O54" s="19" t="s">
        <v>164</v>
      </c>
      <c r="P54" s="26"/>
    </row>
    <row r="55" spans="2:16" s="21" customFormat="1" ht="19.5" x14ac:dyDescent="0.3">
      <c r="B55" s="16">
        <v>3</v>
      </c>
      <c r="C55" s="15" t="s">
        <v>178</v>
      </c>
      <c r="D55" s="15">
        <v>1</v>
      </c>
      <c r="E55" s="15" t="s">
        <v>178</v>
      </c>
      <c r="F55" s="14">
        <v>3</v>
      </c>
      <c r="G55" s="27" t="s">
        <v>440</v>
      </c>
      <c r="H55" s="2" t="s">
        <v>113</v>
      </c>
      <c r="I55" s="3" t="s">
        <v>114</v>
      </c>
      <c r="J55" s="4">
        <v>42269</v>
      </c>
      <c r="K55" s="4">
        <v>42206</v>
      </c>
      <c r="L55" s="4">
        <v>42937</v>
      </c>
      <c r="M55" s="4">
        <f ca="1">TODAY()</f>
        <v>42886</v>
      </c>
      <c r="N55" s="9">
        <f ca="1">INT((L55-M55)/30)</f>
        <v>1</v>
      </c>
      <c r="O55" s="19" t="s">
        <v>164</v>
      </c>
      <c r="P55" s="26"/>
    </row>
    <row r="56" spans="2:16" s="21" customFormat="1" ht="19.5" x14ac:dyDescent="0.3">
      <c r="B56" s="16">
        <v>3</v>
      </c>
      <c r="C56" s="15" t="s">
        <v>178</v>
      </c>
      <c r="D56" s="15">
        <v>1</v>
      </c>
      <c r="E56" s="15" t="s">
        <v>178</v>
      </c>
      <c r="F56" s="14">
        <v>3</v>
      </c>
      <c r="G56" s="27" t="s">
        <v>440</v>
      </c>
      <c r="H56" s="2" t="s">
        <v>111</v>
      </c>
      <c r="I56" s="3" t="s">
        <v>112</v>
      </c>
      <c r="J56" s="4">
        <v>42269</v>
      </c>
      <c r="K56" s="4">
        <v>42206</v>
      </c>
      <c r="L56" s="4">
        <v>42937</v>
      </c>
      <c r="M56" s="4">
        <f ca="1">TODAY()</f>
        <v>42886</v>
      </c>
      <c r="N56" s="9">
        <f ca="1">INT((L56-M56)/30)</f>
        <v>1</v>
      </c>
      <c r="O56" s="19" t="s">
        <v>164</v>
      </c>
      <c r="P56" s="26"/>
    </row>
    <row r="57" spans="2:16" s="21" customFormat="1" ht="19.5" x14ac:dyDescent="0.3">
      <c r="B57" s="16">
        <v>3</v>
      </c>
      <c r="C57" s="15" t="s">
        <v>178</v>
      </c>
      <c r="D57" s="15">
        <v>1</v>
      </c>
      <c r="E57" s="15" t="s">
        <v>178</v>
      </c>
      <c r="F57" s="14">
        <v>3</v>
      </c>
      <c r="G57" s="27" t="s">
        <v>440</v>
      </c>
      <c r="H57" s="2" t="s">
        <v>109</v>
      </c>
      <c r="I57" s="3" t="s">
        <v>110</v>
      </c>
      <c r="J57" s="4">
        <v>42269</v>
      </c>
      <c r="K57" s="4">
        <v>42206</v>
      </c>
      <c r="L57" s="4">
        <v>42937</v>
      </c>
      <c r="M57" s="4">
        <f ca="1">TODAY()</f>
        <v>42886</v>
      </c>
      <c r="N57" s="9">
        <f ca="1">INT((L57-M57)/30)</f>
        <v>1</v>
      </c>
      <c r="O57" s="19" t="s">
        <v>164</v>
      </c>
      <c r="P57" s="26"/>
    </row>
    <row r="58" spans="2:16" s="21" customFormat="1" ht="19.5" x14ac:dyDescent="0.3">
      <c r="B58" s="16">
        <v>3</v>
      </c>
      <c r="C58" s="15" t="s">
        <v>178</v>
      </c>
      <c r="D58" s="15">
        <v>1</v>
      </c>
      <c r="E58" s="15" t="s">
        <v>178</v>
      </c>
      <c r="F58" s="14">
        <v>3</v>
      </c>
      <c r="G58" s="27" t="s">
        <v>440</v>
      </c>
      <c r="H58" s="2" t="s">
        <v>66</v>
      </c>
      <c r="I58" s="3" t="s">
        <v>67</v>
      </c>
      <c r="J58" s="4">
        <v>42338</v>
      </c>
      <c r="K58" s="4">
        <v>42314</v>
      </c>
      <c r="L58" s="4">
        <v>43044</v>
      </c>
      <c r="M58" s="4">
        <f ca="1">TODAY()</f>
        <v>42886</v>
      </c>
      <c r="N58" s="9">
        <f ca="1">INT((L58-M58)/30)</f>
        <v>5</v>
      </c>
      <c r="O58" s="19" t="s">
        <v>164</v>
      </c>
      <c r="P58" s="26"/>
    </row>
    <row r="59" spans="2:16" s="21" customFormat="1" ht="19.5" x14ac:dyDescent="0.3">
      <c r="B59" s="16">
        <v>3</v>
      </c>
      <c r="C59" s="15" t="s">
        <v>178</v>
      </c>
      <c r="D59" s="15">
        <v>1</v>
      </c>
      <c r="E59" s="15" t="s">
        <v>178</v>
      </c>
      <c r="F59" s="14">
        <v>3</v>
      </c>
      <c r="G59" s="27" t="s">
        <v>440</v>
      </c>
      <c r="H59" s="2" t="s">
        <v>69</v>
      </c>
      <c r="I59" s="3" t="s">
        <v>70</v>
      </c>
      <c r="J59" s="4">
        <v>42338</v>
      </c>
      <c r="K59" s="4">
        <v>42314</v>
      </c>
      <c r="L59" s="4">
        <v>43044</v>
      </c>
      <c r="M59" s="4">
        <f ca="1">TODAY()</f>
        <v>42886</v>
      </c>
      <c r="N59" s="9">
        <f ca="1">INT((L59-M59)/30)</f>
        <v>5</v>
      </c>
      <c r="O59" s="19" t="s">
        <v>164</v>
      </c>
      <c r="P59" s="26"/>
    </row>
    <row r="60" spans="2:16" s="21" customFormat="1" ht="19.5" x14ac:dyDescent="0.3">
      <c r="B60" s="16">
        <v>3</v>
      </c>
      <c r="C60" s="15" t="s">
        <v>178</v>
      </c>
      <c r="D60" s="15">
        <v>1</v>
      </c>
      <c r="E60" s="15" t="s">
        <v>178</v>
      </c>
      <c r="F60" s="14">
        <v>3</v>
      </c>
      <c r="G60" s="27" t="s">
        <v>440</v>
      </c>
      <c r="H60" s="2" t="s">
        <v>72</v>
      </c>
      <c r="I60" s="3" t="s">
        <v>71</v>
      </c>
      <c r="J60" s="4">
        <v>42338</v>
      </c>
      <c r="K60" s="4">
        <v>42314</v>
      </c>
      <c r="L60" s="4">
        <v>43044</v>
      </c>
      <c r="M60" s="4">
        <f ca="1">TODAY()</f>
        <v>42886</v>
      </c>
      <c r="N60" s="9">
        <f ca="1">INT((L60-M60)/30)</f>
        <v>5</v>
      </c>
      <c r="O60" s="19" t="s">
        <v>164</v>
      </c>
      <c r="P60" s="26"/>
    </row>
    <row r="61" spans="2:16" s="21" customFormat="1" ht="19.5" x14ac:dyDescent="0.3">
      <c r="B61" s="16">
        <v>3</v>
      </c>
      <c r="C61" s="15" t="s">
        <v>178</v>
      </c>
      <c r="D61" s="15">
        <v>1</v>
      </c>
      <c r="E61" s="15" t="s">
        <v>178</v>
      </c>
      <c r="F61" s="14">
        <v>3</v>
      </c>
      <c r="G61" s="27" t="s">
        <v>440</v>
      </c>
      <c r="H61" s="2" t="s">
        <v>76</v>
      </c>
      <c r="I61" s="3" t="s">
        <v>75</v>
      </c>
      <c r="J61" s="4">
        <v>42338</v>
      </c>
      <c r="K61" s="4">
        <v>42314</v>
      </c>
      <c r="L61" s="4">
        <v>43044</v>
      </c>
      <c r="M61" s="4">
        <f ca="1">TODAY()</f>
        <v>42886</v>
      </c>
      <c r="N61" s="9">
        <f ca="1">INT((L61-M61)/30)</f>
        <v>5</v>
      </c>
      <c r="O61" s="19" t="s">
        <v>164</v>
      </c>
      <c r="P61" s="26"/>
    </row>
    <row r="62" spans="2:16" s="21" customFormat="1" ht="19.5" x14ac:dyDescent="0.3">
      <c r="B62" s="16">
        <v>3</v>
      </c>
      <c r="C62" s="15" t="s">
        <v>178</v>
      </c>
      <c r="D62" s="15">
        <v>1</v>
      </c>
      <c r="E62" s="15" t="s">
        <v>178</v>
      </c>
      <c r="F62" s="14">
        <v>3</v>
      </c>
      <c r="G62" s="27" t="s">
        <v>440</v>
      </c>
      <c r="H62" s="2" t="s">
        <v>74</v>
      </c>
      <c r="I62" s="3" t="s">
        <v>73</v>
      </c>
      <c r="J62" s="4">
        <v>42338</v>
      </c>
      <c r="K62" s="4">
        <v>42314</v>
      </c>
      <c r="L62" s="4">
        <v>43044</v>
      </c>
      <c r="M62" s="4">
        <f ca="1">TODAY()</f>
        <v>42886</v>
      </c>
      <c r="N62" s="9">
        <f ca="1">INT((L62-M62)/30)</f>
        <v>5</v>
      </c>
      <c r="O62" s="19" t="s">
        <v>164</v>
      </c>
      <c r="P62" s="26"/>
    </row>
    <row r="63" spans="2:16" s="21" customFormat="1" ht="19.5" x14ac:dyDescent="0.3">
      <c r="B63" s="16">
        <v>3</v>
      </c>
      <c r="C63" s="15" t="s">
        <v>178</v>
      </c>
      <c r="D63" s="15">
        <v>1</v>
      </c>
      <c r="E63" s="15" t="s">
        <v>178</v>
      </c>
      <c r="F63" s="14">
        <v>3</v>
      </c>
      <c r="G63" s="27" t="s">
        <v>440</v>
      </c>
      <c r="H63" s="2" t="s">
        <v>81</v>
      </c>
      <c r="I63" s="3" t="s">
        <v>82</v>
      </c>
      <c r="J63" s="4">
        <v>42338</v>
      </c>
      <c r="K63" s="4">
        <v>42314</v>
      </c>
      <c r="L63" s="4">
        <v>43044</v>
      </c>
      <c r="M63" s="4">
        <f ca="1">TODAY()</f>
        <v>42886</v>
      </c>
      <c r="N63" s="9">
        <f ca="1">INT((L63-M63)/30)</f>
        <v>5</v>
      </c>
      <c r="O63" s="19" t="s">
        <v>164</v>
      </c>
      <c r="P63" s="26"/>
    </row>
    <row r="64" spans="2:16" s="21" customFormat="1" ht="19.5" x14ac:dyDescent="0.3">
      <c r="B64" s="16">
        <v>3</v>
      </c>
      <c r="C64" s="15" t="s">
        <v>178</v>
      </c>
      <c r="D64" s="15">
        <v>1</v>
      </c>
      <c r="E64" s="15" t="s">
        <v>178</v>
      </c>
      <c r="F64" s="14">
        <v>3</v>
      </c>
      <c r="G64" s="27" t="s">
        <v>440</v>
      </c>
      <c r="H64" s="2" t="s">
        <v>79</v>
      </c>
      <c r="I64" s="3" t="s">
        <v>78</v>
      </c>
      <c r="J64" s="4">
        <v>42338</v>
      </c>
      <c r="K64" s="4">
        <v>42314</v>
      </c>
      <c r="L64" s="4">
        <v>43044</v>
      </c>
      <c r="M64" s="4">
        <f ca="1">TODAY()</f>
        <v>42886</v>
      </c>
      <c r="N64" s="9">
        <f ca="1">INT((L64-M64)/30)</f>
        <v>5</v>
      </c>
      <c r="O64" s="19" t="s">
        <v>164</v>
      </c>
      <c r="P64" s="26"/>
    </row>
    <row r="65" spans="2:16" s="21" customFormat="1" ht="19.5" x14ac:dyDescent="0.3">
      <c r="B65" s="16">
        <v>3</v>
      </c>
      <c r="C65" s="15" t="s">
        <v>178</v>
      </c>
      <c r="D65" s="15">
        <v>1</v>
      </c>
      <c r="E65" s="15" t="s">
        <v>178</v>
      </c>
      <c r="F65" s="14">
        <v>3</v>
      </c>
      <c r="G65" s="27" t="s">
        <v>440</v>
      </c>
      <c r="H65" s="2" t="s">
        <v>83</v>
      </c>
      <c r="I65" s="3" t="s">
        <v>84</v>
      </c>
      <c r="J65" s="4">
        <v>42338</v>
      </c>
      <c r="K65" s="4">
        <v>42314</v>
      </c>
      <c r="L65" s="4">
        <v>43044</v>
      </c>
      <c r="M65" s="4">
        <f ca="1">TODAY()</f>
        <v>42886</v>
      </c>
      <c r="N65" s="9">
        <f ca="1">INT((L65-M65)/30)</f>
        <v>5</v>
      </c>
      <c r="O65" s="19" t="s">
        <v>164</v>
      </c>
      <c r="P65" s="26"/>
    </row>
    <row r="66" spans="2:16" s="21" customFormat="1" ht="19.5" x14ac:dyDescent="0.3">
      <c r="B66" s="16">
        <v>3</v>
      </c>
      <c r="C66" s="15" t="s">
        <v>178</v>
      </c>
      <c r="D66" s="15">
        <v>1</v>
      </c>
      <c r="E66" s="15" t="s">
        <v>178</v>
      </c>
      <c r="F66" s="14">
        <v>3</v>
      </c>
      <c r="G66" s="27" t="s">
        <v>440</v>
      </c>
      <c r="H66" s="2" t="s">
        <v>80</v>
      </c>
      <c r="I66" s="3" t="s">
        <v>77</v>
      </c>
      <c r="J66" s="4">
        <v>42338</v>
      </c>
      <c r="K66" s="4">
        <v>42314</v>
      </c>
      <c r="L66" s="4">
        <v>43044</v>
      </c>
      <c r="M66" s="4">
        <f ca="1">TODAY()</f>
        <v>42886</v>
      </c>
      <c r="N66" s="9">
        <f ca="1">INT((L66-M66)/30)</f>
        <v>5</v>
      </c>
      <c r="O66" s="19" t="s">
        <v>164</v>
      </c>
      <c r="P66" s="26"/>
    </row>
    <row r="67" spans="2:16" s="21" customFormat="1" ht="19.5" x14ac:dyDescent="0.3">
      <c r="B67" s="16">
        <v>3</v>
      </c>
      <c r="C67" s="15" t="s">
        <v>178</v>
      </c>
      <c r="D67" s="15">
        <v>1</v>
      </c>
      <c r="E67" s="15" t="s">
        <v>178</v>
      </c>
      <c r="F67" s="14">
        <v>3</v>
      </c>
      <c r="G67" s="27" t="s">
        <v>440</v>
      </c>
      <c r="H67" s="2" t="s">
        <v>91</v>
      </c>
      <c r="I67" s="3" t="s">
        <v>92</v>
      </c>
      <c r="J67" s="4">
        <v>42338</v>
      </c>
      <c r="K67" s="4">
        <v>42314</v>
      </c>
      <c r="L67" s="4">
        <v>43044</v>
      </c>
      <c r="M67" s="4">
        <f ca="1">TODAY()</f>
        <v>42886</v>
      </c>
      <c r="N67" s="9">
        <f ca="1">INT((L67-M67)/30)</f>
        <v>5</v>
      </c>
      <c r="O67" s="19" t="s">
        <v>164</v>
      </c>
      <c r="P67" s="26"/>
    </row>
    <row r="68" spans="2:16" s="21" customFormat="1" ht="19.5" x14ac:dyDescent="0.3">
      <c r="B68" s="16">
        <v>3</v>
      </c>
      <c r="C68" s="15" t="s">
        <v>178</v>
      </c>
      <c r="D68" s="15">
        <v>1</v>
      </c>
      <c r="E68" s="15" t="s">
        <v>178</v>
      </c>
      <c r="F68" s="14">
        <v>3</v>
      </c>
      <c r="G68" s="27" t="s">
        <v>440</v>
      </c>
      <c r="H68" s="2" t="s">
        <v>89</v>
      </c>
      <c r="I68" s="3" t="s">
        <v>90</v>
      </c>
      <c r="J68" s="4">
        <v>42338</v>
      </c>
      <c r="K68" s="4">
        <v>42314</v>
      </c>
      <c r="L68" s="4">
        <v>43044</v>
      </c>
      <c r="M68" s="4">
        <f ca="1">TODAY()</f>
        <v>42886</v>
      </c>
      <c r="N68" s="9">
        <f ca="1">INT((L68-M68)/30)</f>
        <v>5</v>
      </c>
      <c r="O68" s="19" t="s">
        <v>164</v>
      </c>
      <c r="P68" s="26"/>
    </row>
    <row r="69" spans="2:16" s="21" customFormat="1" ht="19.5" x14ac:dyDescent="0.3">
      <c r="B69" s="16">
        <v>3</v>
      </c>
      <c r="C69" s="15" t="s">
        <v>178</v>
      </c>
      <c r="D69" s="15">
        <v>1</v>
      </c>
      <c r="E69" s="15" t="s">
        <v>178</v>
      </c>
      <c r="F69" s="14">
        <v>3</v>
      </c>
      <c r="G69" s="27" t="s">
        <v>440</v>
      </c>
      <c r="H69" s="2" t="s">
        <v>87</v>
      </c>
      <c r="I69" s="3" t="s">
        <v>88</v>
      </c>
      <c r="J69" s="4">
        <v>42338</v>
      </c>
      <c r="K69" s="4">
        <v>42314</v>
      </c>
      <c r="L69" s="4">
        <v>43044</v>
      </c>
      <c r="M69" s="4">
        <f ca="1">TODAY()</f>
        <v>42886</v>
      </c>
      <c r="N69" s="9">
        <f ca="1">INT((L69-M69)/30)</f>
        <v>5</v>
      </c>
      <c r="O69" s="19" t="s">
        <v>164</v>
      </c>
      <c r="P69" s="26"/>
    </row>
    <row r="70" spans="2:16" s="21" customFormat="1" ht="19.5" x14ac:dyDescent="0.3">
      <c r="B70" s="16">
        <v>3</v>
      </c>
      <c r="C70" s="15" t="s">
        <v>178</v>
      </c>
      <c r="D70" s="15">
        <v>1</v>
      </c>
      <c r="E70" s="15" t="s">
        <v>178</v>
      </c>
      <c r="F70" s="14">
        <v>3</v>
      </c>
      <c r="G70" s="27" t="s">
        <v>440</v>
      </c>
      <c r="H70" s="2" t="s">
        <v>85</v>
      </c>
      <c r="I70" s="3" t="s">
        <v>86</v>
      </c>
      <c r="J70" s="4">
        <v>42338</v>
      </c>
      <c r="K70" s="4">
        <v>42314</v>
      </c>
      <c r="L70" s="4">
        <v>43044</v>
      </c>
      <c r="M70" s="4">
        <f ca="1">TODAY()</f>
        <v>42886</v>
      </c>
      <c r="N70" s="9">
        <f ca="1">INT((L70-M70)/30)</f>
        <v>5</v>
      </c>
      <c r="O70" s="19" t="s">
        <v>164</v>
      </c>
      <c r="P70" s="26"/>
    </row>
    <row r="71" spans="2:16" s="21" customFormat="1" ht="19.5" x14ac:dyDescent="0.3">
      <c r="B71" s="16">
        <v>3</v>
      </c>
      <c r="C71" s="15" t="s">
        <v>178</v>
      </c>
      <c r="D71" s="15">
        <v>2</v>
      </c>
      <c r="E71" s="15" t="s">
        <v>178</v>
      </c>
      <c r="F71" s="14">
        <v>2</v>
      </c>
      <c r="G71" s="27" t="s">
        <v>209</v>
      </c>
      <c r="H71" s="2" t="s">
        <v>441</v>
      </c>
      <c r="I71" s="3" t="s">
        <v>120</v>
      </c>
      <c r="J71" s="4">
        <v>42338</v>
      </c>
      <c r="K71" s="4">
        <v>42320</v>
      </c>
      <c r="L71" s="4">
        <v>43050</v>
      </c>
      <c r="M71" s="4">
        <f ca="1">TODAY()</f>
        <v>42886</v>
      </c>
      <c r="N71" s="9">
        <f ca="1">INT((L71-M71)/30)</f>
        <v>5</v>
      </c>
      <c r="O71" s="19" t="s">
        <v>164</v>
      </c>
      <c r="P71" s="26"/>
    </row>
    <row r="72" spans="2:16" s="21" customFormat="1" ht="19.5" x14ac:dyDescent="0.3">
      <c r="B72" s="16">
        <v>3</v>
      </c>
      <c r="C72" s="15" t="s">
        <v>178</v>
      </c>
      <c r="D72" s="15">
        <v>2</v>
      </c>
      <c r="E72" s="15" t="s">
        <v>178</v>
      </c>
      <c r="F72" s="14">
        <v>3</v>
      </c>
      <c r="G72" s="27" t="s">
        <v>442</v>
      </c>
      <c r="H72" s="2" t="s">
        <v>202</v>
      </c>
      <c r="I72" s="3" t="s">
        <v>161</v>
      </c>
      <c r="J72" s="4">
        <v>40729</v>
      </c>
      <c r="K72" s="4">
        <v>40729</v>
      </c>
      <c r="L72" s="4">
        <v>43651</v>
      </c>
      <c r="M72" s="4">
        <f ca="1">TODAY()</f>
        <v>42886</v>
      </c>
      <c r="N72" s="8">
        <f ca="1">INT((L72-M72)/30)</f>
        <v>25</v>
      </c>
      <c r="O72" s="19" t="s">
        <v>164</v>
      </c>
      <c r="P72" s="26"/>
    </row>
    <row r="73" spans="2:16" s="21" customFormat="1" ht="19.5" x14ac:dyDescent="0.3">
      <c r="B73" s="16">
        <v>3</v>
      </c>
      <c r="C73" s="15" t="s">
        <v>178</v>
      </c>
      <c r="D73" s="15">
        <v>2</v>
      </c>
      <c r="E73" s="15" t="s">
        <v>178</v>
      </c>
      <c r="F73" s="14">
        <v>4</v>
      </c>
      <c r="G73" s="27" t="s">
        <v>443</v>
      </c>
      <c r="H73" s="2" t="s">
        <v>444</v>
      </c>
      <c r="I73" s="3" t="s">
        <v>121</v>
      </c>
      <c r="J73" s="4">
        <v>42269</v>
      </c>
      <c r="K73" s="4">
        <v>42206</v>
      </c>
      <c r="L73" s="4">
        <v>42937</v>
      </c>
      <c r="M73" s="4">
        <f ca="1">TODAY()</f>
        <v>42886</v>
      </c>
      <c r="N73" s="9">
        <f ca="1">INT((L73-M73)/30)</f>
        <v>1</v>
      </c>
      <c r="O73" s="19" t="s">
        <v>164</v>
      </c>
      <c r="P73" s="26"/>
    </row>
    <row r="74" spans="2:16" s="21" customFormat="1" ht="19.5" x14ac:dyDescent="0.3">
      <c r="B74" s="16">
        <v>3</v>
      </c>
      <c r="C74" s="15" t="s">
        <v>178</v>
      </c>
      <c r="D74" s="15">
        <v>2</v>
      </c>
      <c r="E74" s="15" t="s">
        <v>178</v>
      </c>
      <c r="F74" s="14">
        <v>5</v>
      </c>
      <c r="G74" s="27" t="s">
        <v>445</v>
      </c>
      <c r="H74" s="2" t="s">
        <v>122</v>
      </c>
      <c r="I74" s="3" t="s">
        <v>168</v>
      </c>
      <c r="J74" s="4">
        <v>40553</v>
      </c>
      <c r="K74" s="4">
        <v>40553</v>
      </c>
      <c r="L74" s="4">
        <v>42684</v>
      </c>
      <c r="M74" s="4">
        <f ca="1">TODAY()</f>
        <v>42886</v>
      </c>
      <c r="N74" s="12">
        <f ca="1">INT((L74-M74)/30)</f>
        <v>-7</v>
      </c>
      <c r="O74" s="19" t="s">
        <v>164</v>
      </c>
      <c r="P74" s="26"/>
    </row>
    <row r="75" spans="2:16" s="21" customFormat="1" ht="19.5" x14ac:dyDescent="0.3">
      <c r="B75" s="16">
        <v>3</v>
      </c>
      <c r="C75" s="15" t="s">
        <v>178</v>
      </c>
      <c r="D75" s="15">
        <v>3</v>
      </c>
      <c r="E75" s="15" t="s">
        <v>178</v>
      </c>
      <c r="F75" s="14">
        <v>1</v>
      </c>
      <c r="G75" s="27" t="s">
        <v>446</v>
      </c>
      <c r="H75" s="2" t="s">
        <v>123</v>
      </c>
      <c r="I75" s="3" t="s">
        <v>124</v>
      </c>
      <c r="J75" s="4">
        <v>42683</v>
      </c>
      <c r="K75" s="4">
        <v>42585</v>
      </c>
      <c r="L75" s="4">
        <v>43314</v>
      </c>
      <c r="M75" s="4">
        <f ca="1">TODAY()</f>
        <v>42886</v>
      </c>
      <c r="N75" s="8">
        <f ca="1">INT((L75-M75)/30)</f>
        <v>14</v>
      </c>
      <c r="O75" s="19" t="s">
        <v>164</v>
      </c>
      <c r="P75" s="26"/>
    </row>
    <row r="76" spans="2:16" s="21" customFormat="1" ht="19.5" x14ac:dyDescent="0.3">
      <c r="B76" s="16">
        <v>3</v>
      </c>
      <c r="C76" s="15" t="s">
        <v>178</v>
      </c>
      <c r="D76" s="15">
        <v>3</v>
      </c>
      <c r="E76" s="15" t="s">
        <v>178</v>
      </c>
      <c r="F76" s="14">
        <v>3</v>
      </c>
      <c r="G76" s="27" t="s">
        <v>447</v>
      </c>
      <c r="H76" s="2" t="s">
        <v>201</v>
      </c>
      <c r="I76" s="3" t="s">
        <v>125</v>
      </c>
      <c r="J76" s="4">
        <v>40560</v>
      </c>
      <c r="K76" s="4">
        <v>40560</v>
      </c>
      <c r="L76" s="4">
        <v>43482</v>
      </c>
      <c r="M76" s="4">
        <f ca="1">TODAY()</f>
        <v>42886</v>
      </c>
      <c r="N76" s="8">
        <f ca="1">INT((L76-M76)/30)</f>
        <v>19</v>
      </c>
      <c r="O76" s="19" t="s">
        <v>164</v>
      </c>
      <c r="P76" s="26"/>
    </row>
    <row r="77" spans="2:16" s="21" customFormat="1" ht="19.5" x14ac:dyDescent="0.3">
      <c r="B77" s="16">
        <v>3</v>
      </c>
      <c r="C77" s="15" t="s">
        <v>178</v>
      </c>
      <c r="D77" s="15">
        <v>3</v>
      </c>
      <c r="E77" s="15" t="s">
        <v>178</v>
      </c>
      <c r="F77" s="14">
        <v>3</v>
      </c>
      <c r="G77" s="27" t="s">
        <v>448</v>
      </c>
      <c r="H77" s="2" t="s">
        <v>129</v>
      </c>
      <c r="I77" s="3" t="s">
        <v>130</v>
      </c>
      <c r="J77" s="4">
        <v>41271</v>
      </c>
      <c r="K77" s="4">
        <v>41271</v>
      </c>
      <c r="L77" s="4">
        <v>44193</v>
      </c>
      <c r="M77" s="4">
        <f ca="1">TODAY()</f>
        <v>42886</v>
      </c>
      <c r="N77" s="8">
        <f ca="1">INT((L77-M77)/30)</f>
        <v>43</v>
      </c>
      <c r="O77" s="19" t="s">
        <v>164</v>
      </c>
      <c r="P77" s="26"/>
    </row>
    <row r="78" spans="2:16" s="21" customFormat="1" ht="19.5" x14ac:dyDescent="0.3">
      <c r="B78" s="47">
        <v>3</v>
      </c>
      <c r="C78" s="48" t="s">
        <v>178</v>
      </c>
      <c r="D78" s="48">
        <v>3</v>
      </c>
      <c r="E78" s="48" t="s">
        <v>178</v>
      </c>
      <c r="F78" s="49">
        <v>4</v>
      </c>
      <c r="G78" s="28" t="s">
        <v>449</v>
      </c>
      <c r="H78" s="29" t="s">
        <v>126</v>
      </c>
      <c r="I78" s="30" t="s">
        <v>169</v>
      </c>
      <c r="J78" s="31">
        <v>40553</v>
      </c>
      <c r="K78" s="31">
        <v>40553</v>
      </c>
      <c r="L78" s="31">
        <v>42453</v>
      </c>
      <c r="M78" s="31">
        <f ca="1">TODAY()</f>
        <v>42886</v>
      </c>
      <c r="N78" s="32">
        <f ca="1">INT((L78-M78)/30)</f>
        <v>-15</v>
      </c>
      <c r="O78" s="19" t="s">
        <v>164</v>
      </c>
      <c r="P78" s="26"/>
    </row>
    <row r="79" spans="2:16" s="21" customFormat="1" ht="19.5" x14ac:dyDescent="0.3">
      <c r="B79" s="16">
        <v>3</v>
      </c>
      <c r="C79" s="15" t="s">
        <v>178</v>
      </c>
      <c r="D79" s="15">
        <v>3</v>
      </c>
      <c r="E79" s="15" t="s">
        <v>178</v>
      </c>
      <c r="F79" s="14">
        <v>6</v>
      </c>
      <c r="G79" s="27" t="s">
        <v>450</v>
      </c>
      <c r="H79" s="2" t="s">
        <v>127</v>
      </c>
      <c r="I79" s="3" t="s">
        <v>128</v>
      </c>
      <c r="J79" s="4">
        <v>42269</v>
      </c>
      <c r="K79" s="4">
        <v>42206</v>
      </c>
      <c r="L79" s="4">
        <v>42937</v>
      </c>
      <c r="M79" s="4">
        <f ca="1">TODAY()</f>
        <v>42886</v>
      </c>
      <c r="N79" s="9">
        <f ca="1">INT((L79-M79)/30)</f>
        <v>1</v>
      </c>
      <c r="O79" s="19" t="s">
        <v>164</v>
      </c>
      <c r="P79" s="26"/>
    </row>
    <row r="80" spans="2:16" s="21" customFormat="1" ht="19.5" x14ac:dyDescent="0.3">
      <c r="B80" s="16">
        <v>3</v>
      </c>
      <c r="C80" s="15" t="s">
        <v>178</v>
      </c>
      <c r="D80" s="15">
        <v>4</v>
      </c>
      <c r="E80" s="15" t="s">
        <v>178</v>
      </c>
      <c r="F80" s="14">
        <v>3</v>
      </c>
      <c r="G80" s="27" t="s">
        <v>451</v>
      </c>
      <c r="H80" s="2" t="s">
        <v>133</v>
      </c>
      <c r="I80" s="3" t="s">
        <v>134</v>
      </c>
      <c r="J80" s="4">
        <v>42338</v>
      </c>
      <c r="K80" s="4">
        <v>42320</v>
      </c>
      <c r="L80" s="4">
        <v>43050</v>
      </c>
      <c r="M80" s="4">
        <f ca="1">TODAY()</f>
        <v>42886</v>
      </c>
      <c r="N80" s="9">
        <f ca="1">INT((L80-M80)/30)</f>
        <v>5</v>
      </c>
      <c r="O80" s="19" t="s">
        <v>164</v>
      </c>
      <c r="P80" s="26"/>
    </row>
    <row r="81" spans="2:16" s="21" customFormat="1" ht="19.5" x14ac:dyDescent="0.3">
      <c r="B81" s="16">
        <v>3</v>
      </c>
      <c r="C81" s="15" t="s">
        <v>178</v>
      </c>
      <c r="D81" s="15">
        <v>5</v>
      </c>
      <c r="E81" s="15" t="s">
        <v>178</v>
      </c>
      <c r="F81" s="14">
        <v>1</v>
      </c>
      <c r="G81" s="27" t="s">
        <v>452</v>
      </c>
      <c r="H81" s="2" t="s">
        <v>135</v>
      </c>
      <c r="I81" s="3" t="s">
        <v>136</v>
      </c>
      <c r="J81" s="4">
        <v>42683</v>
      </c>
      <c r="K81" s="4">
        <v>42639</v>
      </c>
      <c r="L81" s="4">
        <v>43368</v>
      </c>
      <c r="M81" s="4">
        <f ca="1">TODAY()</f>
        <v>42886</v>
      </c>
      <c r="N81" s="8">
        <f ca="1">INT((L81-M81)/30)</f>
        <v>16</v>
      </c>
      <c r="O81" s="19" t="s">
        <v>164</v>
      </c>
      <c r="P81" s="26"/>
    </row>
    <row r="82" spans="2:16" s="21" customFormat="1" ht="19.5" x14ac:dyDescent="0.3">
      <c r="B82" s="16">
        <v>3</v>
      </c>
      <c r="C82" s="15" t="s">
        <v>178</v>
      </c>
      <c r="D82" s="15">
        <v>5</v>
      </c>
      <c r="E82" s="15" t="s">
        <v>178</v>
      </c>
      <c r="F82" s="14">
        <v>3</v>
      </c>
      <c r="G82" s="27" t="s">
        <v>453</v>
      </c>
      <c r="H82" s="2" t="s">
        <v>171</v>
      </c>
      <c r="I82" s="3" t="s">
        <v>170</v>
      </c>
      <c r="J82" s="4">
        <v>42803</v>
      </c>
      <c r="K82" s="4">
        <v>42639</v>
      </c>
      <c r="L82" s="4">
        <v>43368</v>
      </c>
      <c r="M82" s="4">
        <f ca="1">TODAY()</f>
        <v>42886</v>
      </c>
      <c r="N82" s="8">
        <f ca="1">INT((L82-M82)/30)</f>
        <v>16</v>
      </c>
      <c r="O82" s="19" t="s">
        <v>172</v>
      </c>
      <c r="P82" s="26"/>
    </row>
    <row r="83" spans="2:16" s="21" customFormat="1" ht="19.5" x14ac:dyDescent="0.3">
      <c r="B83" s="16">
        <v>3</v>
      </c>
      <c r="C83" s="15" t="s">
        <v>178</v>
      </c>
      <c r="D83" s="15">
        <v>5</v>
      </c>
      <c r="E83" s="15" t="s">
        <v>178</v>
      </c>
      <c r="F83" s="14">
        <v>4</v>
      </c>
      <c r="G83" s="27" t="s">
        <v>454</v>
      </c>
      <c r="H83" s="2" t="s">
        <v>137</v>
      </c>
      <c r="I83" s="3" t="s">
        <v>138</v>
      </c>
      <c r="J83" s="4">
        <v>40560</v>
      </c>
      <c r="K83" s="4">
        <v>40560</v>
      </c>
      <c r="L83" s="4">
        <v>43482</v>
      </c>
      <c r="M83" s="4">
        <f ca="1">TODAY()</f>
        <v>42886</v>
      </c>
      <c r="N83" s="8">
        <f ca="1">INT((L83-M83)/30)</f>
        <v>19</v>
      </c>
      <c r="O83" s="19" t="s">
        <v>164</v>
      </c>
      <c r="P83" s="26"/>
    </row>
    <row r="84" spans="2:16" s="21" customFormat="1" ht="19.5" x14ac:dyDescent="0.3">
      <c r="B84" s="16">
        <v>4</v>
      </c>
      <c r="C84" s="15" t="s">
        <v>178</v>
      </c>
      <c r="D84" s="15">
        <v>1</v>
      </c>
      <c r="E84" s="15" t="s">
        <v>178</v>
      </c>
      <c r="F84" s="14">
        <v>1</v>
      </c>
      <c r="G84" s="27" t="s">
        <v>455</v>
      </c>
      <c r="H84" s="2" t="s">
        <v>139</v>
      </c>
      <c r="I84" s="3" t="s">
        <v>173</v>
      </c>
      <c r="J84" s="4">
        <v>40553</v>
      </c>
      <c r="K84" s="4">
        <v>40553</v>
      </c>
      <c r="L84" s="4">
        <v>42684</v>
      </c>
      <c r="M84" s="4">
        <f ca="1">TODAY()</f>
        <v>42886</v>
      </c>
      <c r="N84" s="12">
        <f ca="1">INT((L84-M84)/30)</f>
        <v>-7</v>
      </c>
      <c r="O84" s="19" t="s">
        <v>164</v>
      </c>
      <c r="P84" s="26"/>
    </row>
    <row r="85" spans="2:16" s="21" customFormat="1" ht="19.5" x14ac:dyDescent="0.3">
      <c r="B85" s="16">
        <v>4</v>
      </c>
      <c r="C85" s="15" t="s">
        <v>178</v>
      </c>
      <c r="D85" s="15">
        <v>1</v>
      </c>
      <c r="E85" s="15" t="s">
        <v>178</v>
      </c>
      <c r="F85" s="14">
        <v>1</v>
      </c>
      <c r="G85" s="18" t="s">
        <v>187</v>
      </c>
      <c r="H85" s="2" t="s">
        <v>140</v>
      </c>
      <c r="I85" s="3" t="s">
        <v>214</v>
      </c>
      <c r="J85" s="4">
        <v>42382</v>
      </c>
      <c r="K85" s="4">
        <v>42200</v>
      </c>
      <c r="L85" s="4">
        <v>42930</v>
      </c>
      <c r="M85" s="4">
        <f ca="1">TODAY()</f>
        <v>42886</v>
      </c>
      <c r="N85" s="9">
        <f ca="1">INT((L85-M85)/30)</f>
        <v>1</v>
      </c>
      <c r="O85" s="19" t="s">
        <v>164</v>
      </c>
      <c r="P85" s="26"/>
    </row>
    <row r="86" spans="2:16" s="21" customFormat="1" ht="19.5" x14ac:dyDescent="0.3">
      <c r="B86" s="16">
        <v>4</v>
      </c>
      <c r="C86" s="15" t="s">
        <v>178</v>
      </c>
      <c r="D86" s="15">
        <v>1</v>
      </c>
      <c r="E86" s="15" t="s">
        <v>178</v>
      </c>
      <c r="F86" s="14">
        <v>1</v>
      </c>
      <c r="G86" s="27" t="s">
        <v>456</v>
      </c>
      <c r="H86" s="2" t="s">
        <v>141</v>
      </c>
      <c r="I86" s="3" t="s">
        <v>142</v>
      </c>
      <c r="J86" s="4">
        <v>42382</v>
      </c>
      <c r="K86" s="4">
        <v>42200</v>
      </c>
      <c r="L86" s="4">
        <v>42930</v>
      </c>
      <c r="M86" s="4">
        <f ca="1">TODAY()</f>
        <v>42886</v>
      </c>
      <c r="N86" s="9">
        <f ca="1">INT((L86-M86)/30)</f>
        <v>1</v>
      </c>
      <c r="O86" s="19" t="s">
        <v>164</v>
      </c>
      <c r="P86" s="26"/>
    </row>
    <row r="87" spans="2:16" s="21" customFormat="1" ht="19.5" x14ac:dyDescent="0.3">
      <c r="B87" s="16">
        <v>4</v>
      </c>
      <c r="C87" s="15" t="s">
        <v>178</v>
      </c>
      <c r="D87" s="15">
        <v>1</v>
      </c>
      <c r="E87" s="15" t="s">
        <v>178</v>
      </c>
      <c r="F87" s="14">
        <v>1</v>
      </c>
      <c r="G87" s="27" t="s">
        <v>456</v>
      </c>
      <c r="H87" s="2" t="s">
        <v>143</v>
      </c>
      <c r="I87" s="3" t="s">
        <v>144</v>
      </c>
      <c r="J87" s="4">
        <v>42382</v>
      </c>
      <c r="K87" s="4">
        <v>42200</v>
      </c>
      <c r="L87" s="4">
        <v>42930</v>
      </c>
      <c r="M87" s="4">
        <f ca="1">TODAY()</f>
        <v>42886</v>
      </c>
      <c r="N87" s="9">
        <f ca="1">INT((L87-M87)/30)</f>
        <v>1</v>
      </c>
      <c r="O87" s="19" t="s">
        <v>164</v>
      </c>
      <c r="P87" s="26"/>
    </row>
    <row r="88" spans="2:16" s="21" customFormat="1" ht="19.5" x14ac:dyDescent="0.3">
      <c r="B88" s="16">
        <v>4</v>
      </c>
      <c r="C88" s="15" t="s">
        <v>178</v>
      </c>
      <c r="D88" s="15">
        <v>1</v>
      </c>
      <c r="E88" s="15" t="s">
        <v>178</v>
      </c>
      <c r="F88" s="14">
        <v>1</v>
      </c>
      <c r="G88" s="27" t="s">
        <v>456</v>
      </c>
      <c r="H88" s="2" t="s">
        <v>207</v>
      </c>
      <c r="I88" s="3" t="s">
        <v>208</v>
      </c>
      <c r="J88" s="4">
        <v>42382</v>
      </c>
      <c r="K88" s="4">
        <v>42200</v>
      </c>
      <c r="L88" s="4">
        <v>42930</v>
      </c>
      <c r="M88" s="4">
        <f ca="1">TODAY()</f>
        <v>42886</v>
      </c>
      <c r="N88" s="9">
        <f ca="1">INT((L88-M88)/30)</f>
        <v>1</v>
      </c>
      <c r="O88" s="19" t="s">
        <v>164</v>
      </c>
      <c r="P88" s="26"/>
    </row>
    <row r="89" spans="2:16" s="21" customFormat="1" ht="19.5" x14ac:dyDescent="0.3">
      <c r="B89" s="16">
        <v>4</v>
      </c>
      <c r="C89" s="15" t="s">
        <v>178</v>
      </c>
      <c r="D89" s="15">
        <v>1</v>
      </c>
      <c r="E89" s="15" t="s">
        <v>178</v>
      </c>
      <c r="F89" s="14">
        <v>1</v>
      </c>
      <c r="G89" s="18" t="s">
        <v>187</v>
      </c>
      <c r="H89" s="2" t="s">
        <v>145</v>
      </c>
      <c r="I89" s="3" t="s">
        <v>146</v>
      </c>
      <c r="J89" s="4">
        <v>42382</v>
      </c>
      <c r="K89" s="4">
        <v>42200</v>
      </c>
      <c r="L89" s="4">
        <v>42930</v>
      </c>
      <c r="M89" s="4">
        <f ca="1">TODAY()</f>
        <v>42886</v>
      </c>
      <c r="N89" s="9">
        <f ca="1">INT((L89-M89)/30)</f>
        <v>1</v>
      </c>
      <c r="O89" s="19" t="s">
        <v>164</v>
      </c>
      <c r="P89" s="26"/>
    </row>
    <row r="90" spans="2:16" s="21" customFormat="1" ht="19.5" hidden="1" x14ac:dyDescent="0.3">
      <c r="B90" s="16">
        <v>5</v>
      </c>
      <c r="C90" s="15" t="s">
        <v>178</v>
      </c>
      <c r="D90" s="15">
        <v>1</v>
      </c>
      <c r="E90" s="15" t="s">
        <v>178</v>
      </c>
      <c r="F90" s="14">
        <v>1</v>
      </c>
      <c r="G90" s="27" t="s">
        <v>457</v>
      </c>
      <c r="H90" s="2" t="s">
        <v>147</v>
      </c>
      <c r="I90" s="3" t="s">
        <v>175</v>
      </c>
      <c r="J90" s="4">
        <v>40553</v>
      </c>
      <c r="K90" s="4">
        <v>40553</v>
      </c>
      <c r="L90" s="4">
        <v>42575</v>
      </c>
      <c r="M90" s="4">
        <f ca="1">TODAY()</f>
        <v>42886</v>
      </c>
      <c r="N90" s="12">
        <f ca="1">INT((L90-M90)/30)</f>
        <v>-11</v>
      </c>
      <c r="O90" s="19" t="s">
        <v>165</v>
      </c>
      <c r="P90" s="26" t="s">
        <v>419</v>
      </c>
    </row>
    <row r="91" spans="2:16" s="21" customFormat="1" ht="19.5" hidden="1" x14ac:dyDescent="0.3">
      <c r="B91" s="16">
        <v>5</v>
      </c>
      <c r="C91" s="15" t="s">
        <v>178</v>
      </c>
      <c r="D91" s="15">
        <v>1</v>
      </c>
      <c r="E91" s="15" t="s">
        <v>178</v>
      </c>
      <c r="F91" s="14">
        <v>2</v>
      </c>
      <c r="G91" s="27" t="s">
        <v>489</v>
      </c>
      <c r="H91" s="2" t="s">
        <v>147</v>
      </c>
      <c r="I91" s="3" t="s">
        <v>175</v>
      </c>
      <c r="J91" s="4">
        <v>40553</v>
      </c>
      <c r="K91" s="4">
        <v>40553</v>
      </c>
      <c r="L91" s="4">
        <v>42575</v>
      </c>
      <c r="M91" s="4">
        <f ca="1">TODAY()</f>
        <v>42886</v>
      </c>
      <c r="N91" s="12">
        <f ca="1">INT((L91-M91)/30)</f>
        <v>-11</v>
      </c>
      <c r="O91" s="19" t="s">
        <v>165</v>
      </c>
      <c r="P91" s="26" t="s">
        <v>501</v>
      </c>
    </row>
    <row r="92" spans="2:16" s="21" customFormat="1" ht="19.5" x14ac:dyDescent="0.3">
      <c r="B92" s="16">
        <v>5</v>
      </c>
      <c r="C92" s="15" t="s">
        <v>178</v>
      </c>
      <c r="D92" s="15">
        <v>1</v>
      </c>
      <c r="E92" s="15" t="s">
        <v>178</v>
      </c>
      <c r="F92" s="14">
        <v>2</v>
      </c>
      <c r="G92" s="27" t="s">
        <v>489</v>
      </c>
      <c r="H92" s="2" t="s">
        <v>490</v>
      </c>
      <c r="I92" s="3" t="s">
        <v>156</v>
      </c>
      <c r="J92" s="4">
        <v>42631</v>
      </c>
      <c r="K92" s="4">
        <v>42573</v>
      </c>
      <c r="L92" s="4">
        <v>43302</v>
      </c>
      <c r="M92" s="4">
        <f ca="1">TODAY()</f>
        <v>42886</v>
      </c>
      <c r="N92" s="8">
        <f ca="1">INT((L92-M92)/30)</f>
        <v>13</v>
      </c>
      <c r="O92" s="19" t="s">
        <v>164</v>
      </c>
      <c r="P92" s="26"/>
    </row>
    <row r="93" spans="2:16" s="21" customFormat="1" ht="19.5" x14ac:dyDescent="0.3">
      <c r="B93" s="16">
        <v>5</v>
      </c>
      <c r="C93" s="15" t="s">
        <v>178</v>
      </c>
      <c r="D93" s="15">
        <v>1</v>
      </c>
      <c r="E93" s="15" t="s">
        <v>178</v>
      </c>
      <c r="F93" s="14">
        <v>2</v>
      </c>
      <c r="G93" s="27" t="s">
        <v>489</v>
      </c>
      <c r="H93" s="2" t="s">
        <v>491</v>
      </c>
      <c r="I93" s="3" t="s">
        <v>154</v>
      </c>
      <c r="J93" s="4">
        <v>42631</v>
      </c>
      <c r="K93" s="4">
        <v>42573</v>
      </c>
      <c r="L93" s="4">
        <v>43302</v>
      </c>
      <c r="M93" s="4">
        <f ca="1">TODAY()</f>
        <v>42886</v>
      </c>
      <c r="N93" s="8">
        <f ca="1">INT((L93-M93)/30)</f>
        <v>13</v>
      </c>
      <c r="O93" s="19" t="s">
        <v>164</v>
      </c>
      <c r="P93" s="26"/>
    </row>
    <row r="94" spans="2:16" s="21" customFormat="1" ht="19.5" x14ac:dyDescent="0.3">
      <c r="B94" s="16">
        <v>5</v>
      </c>
      <c r="C94" s="15" t="s">
        <v>178</v>
      </c>
      <c r="D94" s="15">
        <v>1</v>
      </c>
      <c r="E94" s="15" t="s">
        <v>178</v>
      </c>
      <c r="F94" s="14">
        <v>2</v>
      </c>
      <c r="G94" s="27" t="s">
        <v>489</v>
      </c>
      <c r="H94" s="2" t="s">
        <v>492</v>
      </c>
      <c r="I94" s="3" t="s">
        <v>155</v>
      </c>
      <c r="J94" s="4">
        <v>42631</v>
      </c>
      <c r="K94" s="4">
        <v>42573</v>
      </c>
      <c r="L94" s="4">
        <v>43302</v>
      </c>
      <c r="M94" s="4">
        <f ca="1">TODAY()</f>
        <v>42886</v>
      </c>
      <c r="N94" s="8">
        <f ca="1">INT((L94-M94)/30)</f>
        <v>13</v>
      </c>
      <c r="O94" s="19" t="s">
        <v>164</v>
      </c>
      <c r="P94" s="26"/>
    </row>
    <row r="95" spans="2:16" s="21" customFormat="1" ht="19.5" x14ac:dyDescent="0.3">
      <c r="B95" s="16">
        <v>5</v>
      </c>
      <c r="C95" s="15" t="s">
        <v>178</v>
      </c>
      <c r="D95" s="15">
        <v>1</v>
      </c>
      <c r="E95" s="15" t="s">
        <v>178</v>
      </c>
      <c r="F95" s="14">
        <v>2</v>
      </c>
      <c r="G95" s="27" t="s">
        <v>489</v>
      </c>
      <c r="H95" s="2" t="s">
        <v>493</v>
      </c>
      <c r="I95" s="3" t="s">
        <v>153</v>
      </c>
      <c r="J95" s="4">
        <v>42631</v>
      </c>
      <c r="K95" s="4">
        <v>42573</v>
      </c>
      <c r="L95" s="4">
        <v>43302</v>
      </c>
      <c r="M95" s="4">
        <f ca="1">TODAY()</f>
        <v>42886</v>
      </c>
      <c r="N95" s="8">
        <f ca="1">INT((L95-M95)/30)</f>
        <v>13</v>
      </c>
      <c r="O95" s="19" t="s">
        <v>164</v>
      </c>
      <c r="P95" s="26"/>
    </row>
    <row r="96" spans="2:16" s="21" customFormat="1" ht="19.5" x14ac:dyDescent="0.3">
      <c r="B96" s="16">
        <v>5</v>
      </c>
      <c r="C96" s="15" t="s">
        <v>178</v>
      </c>
      <c r="D96" s="15">
        <v>1</v>
      </c>
      <c r="E96" s="15" t="s">
        <v>178</v>
      </c>
      <c r="F96" s="14">
        <v>2</v>
      </c>
      <c r="G96" s="27" t="s">
        <v>489</v>
      </c>
      <c r="H96" s="2" t="s">
        <v>494</v>
      </c>
      <c r="I96" s="3" t="s">
        <v>151</v>
      </c>
      <c r="J96" s="4">
        <v>42631</v>
      </c>
      <c r="K96" s="4">
        <v>42573</v>
      </c>
      <c r="L96" s="4">
        <v>43302</v>
      </c>
      <c r="M96" s="4">
        <f ca="1">TODAY()</f>
        <v>42886</v>
      </c>
      <c r="N96" s="8">
        <f ca="1">INT((L96-M96)/30)</f>
        <v>13</v>
      </c>
      <c r="O96" s="19" t="s">
        <v>164</v>
      </c>
      <c r="P96" s="26"/>
    </row>
    <row r="97" spans="2:16" s="21" customFormat="1" ht="18.75" customHeight="1" x14ac:dyDescent="0.3">
      <c r="B97" s="16">
        <v>5</v>
      </c>
      <c r="C97" s="15" t="s">
        <v>178</v>
      </c>
      <c r="D97" s="15">
        <v>1</v>
      </c>
      <c r="E97" s="15" t="s">
        <v>178</v>
      </c>
      <c r="F97" s="14">
        <v>2</v>
      </c>
      <c r="G97" s="33" t="s">
        <v>489</v>
      </c>
      <c r="H97" s="5" t="s">
        <v>495</v>
      </c>
      <c r="I97" s="6" t="s">
        <v>152</v>
      </c>
      <c r="J97" s="7">
        <v>42631</v>
      </c>
      <c r="K97" s="7">
        <v>42573</v>
      </c>
      <c r="L97" s="7">
        <v>43302</v>
      </c>
      <c r="M97" s="7">
        <f ca="1">TODAY()</f>
        <v>42886</v>
      </c>
      <c r="N97" s="8">
        <f ca="1">INT((L97-M97)/30)</f>
        <v>13</v>
      </c>
      <c r="O97" s="19" t="s">
        <v>164</v>
      </c>
      <c r="P97" s="26"/>
    </row>
    <row r="98" spans="2:16" s="21" customFormat="1" ht="18.75" customHeight="1" x14ac:dyDescent="0.3">
      <c r="B98" s="16">
        <v>5</v>
      </c>
      <c r="C98" s="15" t="s">
        <v>178</v>
      </c>
      <c r="D98" s="15">
        <v>1</v>
      </c>
      <c r="E98" s="15" t="s">
        <v>178</v>
      </c>
      <c r="F98" s="14">
        <v>2</v>
      </c>
      <c r="G98" s="33" t="s">
        <v>489</v>
      </c>
      <c r="H98" s="5" t="s">
        <v>493</v>
      </c>
      <c r="I98" s="6" t="s">
        <v>150</v>
      </c>
      <c r="J98" s="7">
        <v>42631</v>
      </c>
      <c r="K98" s="7">
        <v>42573</v>
      </c>
      <c r="L98" s="7">
        <v>43302</v>
      </c>
      <c r="M98" s="7">
        <f ca="1">TODAY()</f>
        <v>42886</v>
      </c>
      <c r="N98" s="8">
        <f ca="1">INT((L98-M98)/30)</f>
        <v>13</v>
      </c>
      <c r="O98" s="34" t="s">
        <v>164</v>
      </c>
      <c r="P98" s="26"/>
    </row>
    <row r="99" spans="2:16" s="21" customFormat="1" ht="18.75" customHeight="1" x14ac:dyDescent="0.3">
      <c r="B99" s="16">
        <v>5</v>
      </c>
      <c r="C99" s="15" t="s">
        <v>178</v>
      </c>
      <c r="D99" s="15">
        <v>1</v>
      </c>
      <c r="E99" s="15" t="s">
        <v>178</v>
      </c>
      <c r="F99" s="14">
        <v>2</v>
      </c>
      <c r="G99" s="33" t="s">
        <v>489</v>
      </c>
      <c r="H99" s="5" t="s">
        <v>494</v>
      </c>
      <c r="I99" s="6" t="s">
        <v>149</v>
      </c>
      <c r="J99" s="7">
        <v>42631</v>
      </c>
      <c r="K99" s="7">
        <v>42573</v>
      </c>
      <c r="L99" s="7">
        <v>43302</v>
      </c>
      <c r="M99" s="7">
        <f ca="1">TODAY()</f>
        <v>42886</v>
      </c>
      <c r="N99" s="8">
        <f ca="1">INT((L99-M99)/30)</f>
        <v>13</v>
      </c>
      <c r="O99" s="34" t="s">
        <v>164</v>
      </c>
      <c r="P99" s="26"/>
    </row>
    <row r="100" spans="2:16" s="21" customFormat="1" ht="18.75" customHeight="1" x14ac:dyDescent="0.3">
      <c r="B100" s="16">
        <v>5</v>
      </c>
      <c r="C100" s="15" t="s">
        <v>178</v>
      </c>
      <c r="D100" s="15">
        <v>1</v>
      </c>
      <c r="E100" s="15" t="s">
        <v>178</v>
      </c>
      <c r="F100" s="14">
        <v>2</v>
      </c>
      <c r="G100" s="33" t="s">
        <v>489</v>
      </c>
      <c r="H100" s="5" t="s">
        <v>495</v>
      </c>
      <c r="I100" s="6" t="s">
        <v>148</v>
      </c>
      <c r="J100" s="7">
        <v>42631</v>
      </c>
      <c r="K100" s="7">
        <v>42573</v>
      </c>
      <c r="L100" s="7">
        <v>43302</v>
      </c>
      <c r="M100" s="7">
        <f ca="1">TODAY()</f>
        <v>42886</v>
      </c>
      <c r="N100" s="8">
        <f ca="1">INT((L100-M100)/30)</f>
        <v>13</v>
      </c>
      <c r="O100" s="34" t="s">
        <v>164</v>
      </c>
      <c r="P100" s="35"/>
    </row>
    <row r="101" spans="2:16" s="21" customFormat="1" ht="18.75" customHeight="1" x14ac:dyDescent="0.3">
      <c r="B101" s="36">
        <v>6</v>
      </c>
      <c r="C101" s="37" t="s">
        <v>178</v>
      </c>
      <c r="D101" s="37">
        <v>1</v>
      </c>
      <c r="E101" s="37" t="s">
        <v>178</v>
      </c>
      <c r="F101" s="38">
        <v>2</v>
      </c>
      <c r="G101" s="33" t="s">
        <v>496</v>
      </c>
      <c r="H101" s="5" t="s">
        <v>157</v>
      </c>
      <c r="I101" s="6" t="s">
        <v>158</v>
      </c>
      <c r="J101" s="7">
        <v>42452</v>
      </c>
      <c r="K101" s="7">
        <v>42382</v>
      </c>
      <c r="L101" s="7">
        <v>43112</v>
      </c>
      <c r="M101" s="7">
        <f ca="1">TODAY()</f>
        <v>42886</v>
      </c>
      <c r="N101" s="8">
        <f ca="1">INT((L101-M101)/30)</f>
        <v>7</v>
      </c>
      <c r="O101" s="34" t="s">
        <v>164</v>
      </c>
      <c r="P101" s="35"/>
    </row>
    <row r="102" spans="2:16" s="21" customFormat="1" ht="18.75" customHeight="1" x14ac:dyDescent="0.3">
      <c r="B102" s="36">
        <v>8</v>
      </c>
      <c r="C102" s="37" t="s">
        <v>178</v>
      </c>
      <c r="D102" s="37">
        <v>1</v>
      </c>
      <c r="E102" s="37" t="s">
        <v>178</v>
      </c>
      <c r="F102" s="38">
        <v>1</v>
      </c>
      <c r="G102" s="50" t="s">
        <v>497</v>
      </c>
      <c r="H102" s="51" t="s">
        <v>162</v>
      </c>
      <c r="I102" s="52" t="s">
        <v>159</v>
      </c>
      <c r="J102" s="53">
        <v>40553</v>
      </c>
      <c r="K102" s="53">
        <v>40553</v>
      </c>
      <c r="L102" s="53">
        <v>42842</v>
      </c>
      <c r="M102" s="53">
        <f ca="1">TODAY()</f>
        <v>42886</v>
      </c>
      <c r="N102" s="32">
        <f ca="1">INT((L102-M102)/30)</f>
        <v>-2</v>
      </c>
      <c r="O102" s="34" t="s">
        <v>164</v>
      </c>
      <c r="P102" s="35"/>
    </row>
    <row r="103" spans="2:16" s="21" customFormat="1" ht="18.75" customHeight="1" x14ac:dyDescent="0.3">
      <c r="B103" s="36">
        <v>8</v>
      </c>
      <c r="C103" s="37" t="s">
        <v>237</v>
      </c>
      <c r="D103" s="37">
        <v>1</v>
      </c>
      <c r="E103" s="37" t="s">
        <v>237</v>
      </c>
      <c r="F103" s="38">
        <v>1</v>
      </c>
      <c r="G103" s="33" t="s">
        <v>498</v>
      </c>
      <c r="H103" s="5" t="s">
        <v>231</v>
      </c>
      <c r="I103" s="6" t="s">
        <v>232</v>
      </c>
      <c r="J103" s="7">
        <v>42878</v>
      </c>
      <c r="K103" s="7">
        <v>42857</v>
      </c>
      <c r="L103" s="7">
        <v>43586</v>
      </c>
      <c r="M103" s="7">
        <f ca="1">TODAY()</f>
        <v>42886</v>
      </c>
      <c r="N103" s="8">
        <f ca="1">INT((L103-M103)/30)</f>
        <v>23</v>
      </c>
      <c r="O103" s="34" t="s">
        <v>164</v>
      </c>
      <c r="P103" s="35"/>
    </row>
    <row r="104" spans="2:16" s="21" customFormat="1" ht="18.75" customHeight="1" x14ac:dyDescent="0.3">
      <c r="B104" s="36">
        <v>8</v>
      </c>
      <c r="C104" s="37" t="s">
        <v>237</v>
      </c>
      <c r="D104" s="37">
        <v>1</v>
      </c>
      <c r="E104" s="37" t="s">
        <v>237</v>
      </c>
      <c r="F104" s="38">
        <v>1</v>
      </c>
      <c r="G104" s="33" t="s">
        <v>499</v>
      </c>
      <c r="H104" s="5" t="s">
        <v>233</v>
      </c>
      <c r="I104" s="6" t="s">
        <v>234</v>
      </c>
      <c r="J104" s="7">
        <v>42878</v>
      </c>
      <c r="K104" s="7">
        <v>42857</v>
      </c>
      <c r="L104" s="7">
        <v>43586</v>
      </c>
      <c r="M104" s="7">
        <f ca="1">TODAY()</f>
        <v>42886</v>
      </c>
      <c r="N104" s="8">
        <f ca="1">INT((L104-M104)/30)</f>
        <v>23</v>
      </c>
      <c r="O104" s="34" t="s">
        <v>164</v>
      </c>
      <c r="P104" s="35"/>
    </row>
    <row r="105" spans="2:16" s="21" customFormat="1" ht="18.75" customHeight="1" x14ac:dyDescent="0.3">
      <c r="B105" s="36">
        <v>8</v>
      </c>
      <c r="C105" s="37" t="s">
        <v>237</v>
      </c>
      <c r="D105" s="37">
        <v>1</v>
      </c>
      <c r="E105" s="37" t="s">
        <v>237</v>
      </c>
      <c r="F105" s="38">
        <v>1</v>
      </c>
      <c r="G105" s="33" t="s">
        <v>498</v>
      </c>
      <c r="H105" s="5" t="s">
        <v>235</v>
      </c>
      <c r="I105" s="6" t="s">
        <v>236</v>
      </c>
      <c r="J105" s="7">
        <v>42878</v>
      </c>
      <c r="K105" s="7">
        <v>42857</v>
      </c>
      <c r="L105" s="7">
        <v>43586</v>
      </c>
      <c r="M105" s="7">
        <f ca="1">TODAY()</f>
        <v>42886</v>
      </c>
      <c r="N105" s="55">
        <f ca="1">INT((L105-M105)/30)</f>
        <v>23</v>
      </c>
      <c r="O105" s="34" t="s">
        <v>164</v>
      </c>
      <c r="P105" s="35"/>
    </row>
    <row r="106" spans="2:16" s="21" customFormat="1" ht="18.75" customHeight="1" x14ac:dyDescent="0.3">
      <c r="B106" s="36">
        <v>10</v>
      </c>
      <c r="C106" s="37" t="s">
        <v>179</v>
      </c>
      <c r="D106" s="37">
        <v>5</v>
      </c>
      <c r="E106" s="37" t="s">
        <v>180</v>
      </c>
      <c r="F106" s="38">
        <v>1</v>
      </c>
      <c r="G106" s="33" t="s">
        <v>500</v>
      </c>
      <c r="H106" s="5" t="s">
        <v>160</v>
      </c>
      <c r="I106" s="6" t="s">
        <v>174</v>
      </c>
      <c r="J106" s="7">
        <v>41355</v>
      </c>
      <c r="K106" s="7">
        <v>41355</v>
      </c>
      <c r="L106" s="7">
        <v>44277</v>
      </c>
      <c r="M106" s="7">
        <f ca="1">TODAY()</f>
        <v>42886</v>
      </c>
      <c r="N106" s="55">
        <f ca="1">INT((L106-M106)/30)</f>
        <v>46</v>
      </c>
      <c r="O106" s="34" t="s">
        <v>164</v>
      </c>
      <c r="P106" s="35"/>
    </row>
    <row r="107" spans="2:16" s="61" customFormat="1" ht="20.25" customHeight="1" thickBot="1" x14ac:dyDescent="0.35">
      <c r="B107" s="13" t="s">
        <v>215</v>
      </c>
      <c r="C107" s="39"/>
      <c r="D107" s="39"/>
      <c r="E107" s="39"/>
      <c r="F107" s="40"/>
      <c r="G107" s="40"/>
      <c r="H107" s="41"/>
      <c r="I107" s="41"/>
      <c r="J107" s="41"/>
      <c r="K107" s="41"/>
      <c r="L107" s="41"/>
      <c r="M107" s="41"/>
      <c r="N107" s="41"/>
      <c r="O107" s="41"/>
      <c r="P107" s="42"/>
    </row>
    <row r="108" spans="2:16" s="21" customFormat="1" x14ac:dyDescent="0.3">
      <c r="B108" s="11"/>
      <c r="C108" s="11"/>
      <c r="D108" s="11"/>
      <c r="E108" s="11"/>
      <c r="F108" s="11"/>
      <c r="I108" s="62"/>
      <c r="J108" s="63"/>
      <c r="K108" s="63"/>
      <c r="L108" s="63"/>
      <c r="M108" s="64"/>
      <c r="N108" s="20"/>
      <c r="O108" s="20"/>
    </row>
    <row r="109" spans="2:16" s="21" customFormat="1" x14ac:dyDescent="0.3">
      <c r="B109" s="11"/>
      <c r="C109" s="11"/>
      <c r="D109" s="11"/>
      <c r="E109" s="11"/>
      <c r="F109" s="11"/>
      <c r="I109" s="62"/>
      <c r="J109" s="63"/>
      <c r="K109" s="63"/>
      <c r="L109" s="63"/>
      <c r="M109" s="65"/>
      <c r="N109" s="20"/>
      <c r="O109" s="20"/>
    </row>
    <row r="110" spans="2:16" s="21" customFormat="1" ht="31.5" x14ac:dyDescent="0.4">
      <c r="B110" s="11"/>
      <c r="C110" s="11"/>
      <c r="D110" s="11"/>
      <c r="E110" s="11"/>
      <c r="F110" s="11"/>
      <c r="G110" s="66" t="s">
        <v>429</v>
      </c>
      <c r="H110" s="66"/>
      <c r="I110" s="66"/>
      <c r="J110" s="66"/>
      <c r="K110" s="66"/>
      <c r="L110" s="66"/>
      <c r="M110" s="66"/>
      <c r="N110" s="66"/>
      <c r="O110" s="20"/>
    </row>
    <row r="111" spans="2:16" s="21" customFormat="1" ht="19.5" x14ac:dyDescent="0.3">
      <c r="B111" s="16">
        <v>5</v>
      </c>
      <c r="C111" s="15" t="s">
        <v>177</v>
      </c>
      <c r="D111" s="15">
        <v>1</v>
      </c>
      <c r="E111" s="15" t="s">
        <v>177</v>
      </c>
      <c r="F111" s="14">
        <v>1</v>
      </c>
      <c r="G111" s="27" t="s">
        <v>457</v>
      </c>
      <c r="H111" s="2" t="s">
        <v>147</v>
      </c>
      <c r="I111" s="3" t="s">
        <v>175</v>
      </c>
      <c r="J111" s="4">
        <v>40553</v>
      </c>
      <c r="K111" s="4">
        <v>40553</v>
      </c>
      <c r="L111" s="4">
        <v>42575</v>
      </c>
      <c r="M111" s="4">
        <f ca="1">TODAY()</f>
        <v>42886</v>
      </c>
      <c r="N111" s="12">
        <f ca="1">INT((L111-M111)/30)</f>
        <v>-11</v>
      </c>
      <c r="O111" s="19" t="s">
        <v>165</v>
      </c>
      <c r="P111" s="26" t="s">
        <v>419</v>
      </c>
    </row>
    <row r="112" spans="2:16" s="21" customFormat="1" ht="19.5" x14ac:dyDescent="0.3">
      <c r="B112" s="16">
        <v>5</v>
      </c>
      <c r="C112" s="15" t="s">
        <v>177</v>
      </c>
      <c r="D112" s="15">
        <v>1</v>
      </c>
      <c r="E112" s="15" t="s">
        <v>177</v>
      </c>
      <c r="F112" s="14">
        <v>2</v>
      </c>
      <c r="G112" s="27" t="s">
        <v>489</v>
      </c>
      <c r="H112" s="2" t="s">
        <v>147</v>
      </c>
      <c r="I112" s="3" t="s">
        <v>175</v>
      </c>
      <c r="J112" s="4">
        <v>40553</v>
      </c>
      <c r="K112" s="4">
        <v>40553</v>
      </c>
      <c r="L112" s="4">
        <v>42575</v>
      </c>
      <c r="M112" s="4">
        <f ca="1">TODAY()</f>
        <v>42886</v>
      </c>
      <c r="N112" s="12">
        <f ca="1">INT((L112-M112)/30)</f>
        <v>-11</v>
      </c>
      <c r="O112" s="19" t="s">
        <v>165</v>
      </c>
      <c r="P112" s="26" t="s">
        <v>501</v>
      </c>
    </row>
    <row r="113" spans="2:6" customFormat="1" ht="14.25" x14ac:dyDescent="0.2"/>
    <row r="114" spans="2:6" customFormat="1" ht="14.25" x14ac:dyDescent="0.2"/>
    <row r="115" spans="2:6" x14ac:dyDescent="0.3">
      <c r="B115" s="22"/>
      <c r="C115" s="22"/>
      <c r="D115" s="22"/>
      <c r="E115" s="22"/>
      <c r="F115" s="22"/>
    </row>
    <row r="116" spans="2:6" x14ac:dyDescent="0.3">
      <c r="B116" s="22"/>
      <c r="C116" s="22"/>
      <c r="D116" s="22"/>
      <c r="E116" s="22"/>
      <c r="F116" s="22"/>
    </row>
    <row r="117" spans="2:6" x14ac:dyDescent="0.3">
      <c r="B117" s="22"/>
      <c r="C117" s="22"/>
      <c r="D117" s="22"/>
      <c r="E117" s="22"/>
      <c r="F117" s="22"/>
    </row>
    <row r="118" spans="2:6" x14ac:dyDescent="0.3">
      <c r="B118" s="22"/>
      <c r="C118" s="22"/>
      <c r="D118" s="22"/>
      <c r="E118" s="22"/>
      <c r="F118" s="22"/>
    </row>
    <row r="119" spans="2:6" x14ac:dyDescent="0.3">
      <c r="B119" s="22"/>
      <c r="C119" s="22"/>
      <c r="D119" s="22"/>
      <c r="E119" s="22"/>
      <c r="F119" s="22"/>
    </row>
    <row r="120" spans="2:6" x14ac:dyDescent="0.3">
      <c r="B120" s="22"/>
      <c r="C120" s="22"/>
      <c r="D120" s="22"/>
      <c r="E120" s="22"/>
      <c r="F120" s="22"/>
    </row>
    <row r="121" spans="2:6" x14ac:dyDescent="0.3">
      <c r="B121" s="22"/>
      <c r="C121" s="22"/>
      <c r="D121" s="22"/>
      <c r="E121" s="22"/>
      <c r="F121" s="22"/>
    </row>
    <row r="122" spans="2:6" x14ac:dyDescent="0.3">
      <c r="B122" s="22"/>
      <c r="C122" s="22"/>
      <c r="D122" s="22"/>
      <c r="E122" s="22"/>
      <c r="F122" s="22"/>
    </row>
    <row r="123" spans="2:6" x14ac:dyDescent="0.3">
      <c r="B123" s="22"/>
      <c r="C123" s="22"/>
      <c r="D123" s="22"/>
      <c r="E123" s="22"/>
      <c r="F123" s="22"/>
    </row>
    <row r="124" spans="2:6" x14ac:dyDescent="0.3">
      <c r="B124" s="22"/>
      <c r="C124" s="22"/>
      <c r="D124" s="22"/>
      <c r="E124" s="22"/>
      <c r="F124" s="22"/>
    </row>
    <row r="125" spans="2:6" x14ac:dyDescent="0.3">
      <c r="B125" s="22"/>
      <c r="C125" s="22"/>
      <c r="D125" s="22"/>
      <c r="E125" s="22"/>
      <c r="F125" s="22"/>
    </row>
    <row r="126" spans="2:6" x14ac:dyDescent="0.3">
      <c r="B126" s="22"/>
      <c r="C126" s="22"/>
      <c r="D126" s="22"/>
      <c r="E126" s="22"/>
      <c r="F126" s="22"/>
    </row>
    <row r="127" spans="2:6" x14ac:dyDescent="0.3">
      <c r="B127" s="22"/>
      <c r="C127" s="22"/>
      <c r="D127" s="22"/>
      <c r="E127" s="22"/>
      <c r="F127" s="22"/>
    </row>
    <row r="128" spans="2:6" x14ac:dyDescent="0.3">
      <c r="B128" s="22"/>
      <c r="C128" s="22"/>
      <c r="D128" s="22"/>
      <c r="E128" s="22"/>
      <c r="F128" s="22"/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107">
      <sortCondition ref="N2:N3"/>
    </sortState>
  </autoFilter>
  <sortState sortMethod="stroke" ref="B5:P106">
    <sortCondition ref="B2"/>
    <sortCondition ref="D2"/>
    <sortCondition ref="F2"/>
  </sortState>
  <mergeCells count="12">
    <mergeCell ref="G110:N110"/>
    <mergeCell ref="B2:F3"/>
    <mergeCell ref="P2:P3"/>
    <mergeCell ref="O2:O3"/>
    <mergeCell ref="G1:N1"/>
    <mergeCell ref="G2:G3"/>
    <mergeCell ref="M2:M3"/>
    <mergeCell ref="N2:N3"/>
    <mergeCell ref="K2:L2"/>
    <mergeCell ref="H2:H3"/>
    <mergeCell ref="I2:I3"/>
    <mergeCell ref="J2:J3"/>
  </mergeCells>
  <phoneticPr fontId="1" type="noConversion"/>
  <conditionalFormatting sqref="P108:P110 P1 P4:P106 P115:P1048576">
    <cfRule type="colorScale" priority="5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111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112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:O106 O115:O1048576 O108:O112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58"/>
  <sheetViews>
    <sheetView zoomScale="85" zoomScaleNormal="85" workbookViewId="0">
      <pane ySplit="3" topLeftCell="A41" activePane="bottomLeft" state="frozenSplit"/>
      <selection pane="bottomLeft" activeCell="R11" sqref="R11"/>
    </sheetView>
  </sheetViews>
  <sheetFormatPr defaultRowHeight="18.75" x14ac:dyDescent="0.3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20.75" style="43" customWidth="1"/>
    <col min="10" max="12" width="13.625" style="44" customWidth="1"/>
    <col min="13" max="13" width="13.625" style="46" customWidth="1"/>
    <col min="14" max="15" width="13.625" style="45" customWidth="1"/>
    <col min="16" max="16" width="32.125" style="22" customWidth="1"/>
    <col min="17" max="17" width="18.125" style="22" customWidth="1"/>
    <col min="18" max="16384" width="9" style="22"/>
  </cols>
  <sheetData>
    <row r="1" spans="2:18" ht="36" customHeight="1" thickBot="1" x14ac:dyDescent="0.45">
      <c r="B1" s="11"/>
      <c r="C1" s="11"/>
      <c r="D1" s="11"/>
      <c r="E1" s="11"/>
      <c r="F1" s="11"/>
      <c r="G1" s="77" t="s">
        <v>422</v>
      </c>
      <c r="H1" s="77"/>
      <c r="I1" s="77"/>
      <c r="J1" s="77"/>
      <c r="K1" s="77"/>
      <c r="L1" s="77"/>
      <c r="M1" s="77"/>
      <c r="N1" s="77"/>
      <c r="O1" s="20"/>
      <c r="P1" s="21"/>
    </row>
    <row r="2" spans="2:18" ht="20.25" x14ac:dyDescent="0.3">
      <c r="B2" s="67" t="s">
        <v>331</v>
      </c>
      <c r="C2" s="68"/>
      <c r="D2" s="68"/>
      <c r="E2" s="68"/>
      <c r="F2" s="69"/>
      <c r="G2" s="78" t="s">
        <v>332</v>
      </c>
      <c r="H2" s="84" t="s">
        <v>333</v>
      </c>
      <c r="I2" s="86" t="s">
        <v>334</v>
      </c>
      <c r="J2" s="80" t="s">
        <v>335</v>
      </c>
      <c r="K2" s="84" t="s">
        <v>336</v>
      </c>
      <c r="L2" s="84"/>
      <c r="M2" s="80" t="s">
        <v>337</v>
      </c>
      <c r="N2" s="82" t="s">
        <v>338</v>
      </c>
      <c r="O2" s="75" t="s">
        <v>163</v>
      </c>
      <c r="P2" s="73" t="s">
        <v>339</v>
      </c>
      <c r="Q2" s="23" t="s">
        <v>166</v>
      </c>
    </row>
    <row r="3" spans="2:18" s="25" customFormat="1" ht="20.25" x14ac:dyDescent="0.3">
      <c r="B3" s="70"/>
      <c r="C3" s="71"/>
      <c r="D3" s="71"/>
      <c r="E3" s="71"/>
      <c r="F3" s="72"/>
      <c r="G3" s="79"/>
      <c r="H3" s="85"/>
      <c r="I3" s="87"/>
      <c r="J3" s="81"/>
      <c r="K3" s="56" t="s">
        <v>212</v>
      </c>
      <c r="L3" s="56" t="s">
        <v>213</v>
      </c>
      <c r="M3" s="81"/>
      <c r="N3" s="83"/>
      <c r="O3" s="76"/>
      <c r="P3" s="74"/>
      <c r="Q3" s="24" t="s">
        <v>167</v>
      </c>
    </row>
    <row r="4" spans="2:18" s="21" customFormat="1" ht="19.5" x14ac:dyDescent="0.3">
      <c r="B4" s="16">
        <v>2</v>
      </c>
      <c r="C4" s="15" t="s">
        <v>177</v>
      </c>
      <c r="D4" s="15">
        <v>1</v>
      </c>
      <c r="E4" s="15" t="s">
        <v>177</v>
      </c>
      <c r="F4" s="14">
        <v>1</v>
      </c>
      <c r="G4" s="27" t="s">
        <v>424</v>
      </c>
      <c r="H4" s="2" t="s">
        <v>243</v>
      </c>
      <c r="I4" s="3" t="s">
        <v>182</v>
      </c>
      <c r="J4" s="4">
        <v>40940</v>
      </c>
      <c r="K4" s="4">
        <v>41010</v>
      </c>
      <c r="L4" s="4">
        <v>43678</v>
      </c>
      <c r="M4" s="4">
        <f ca="1">TODAY()</f>
        <v>42886</v>
      </c>
      <c r="N4" s="8">
        <f ca="1">INT((L4-M4)/30)</f>
        <v>26</v>
      </c>
      <c r="O4" s="19" t="s">
        <v>164</v>
      </c>
      <c r="P4" s="26"/>
      <c r="R4" s="60" t="s">
        <v>241</v>
      </c>
    </row>
    <row r="5" spans="2:18" s="21" customFormat="1" ht="19.5" x14ac:dyDescent="0.3">
      <c r="B5" s="16">
        <v>2</v>
      </c>
      <c r="C5" s="15" t="s">
        <v>237</v>
      </c>
      <c r="D5" s="15">
        <v>1</v>
      </c>
      <c r="E5" s="15" t="s">
        <v>237</v>
      </c>
      <c r="F5" s="14">
        <v>1</v>
      </c>
      <c r="G5" s="27" t="s">
        <v>502</v>
      </c>
      <c r="H5" s="2" t="s">
        <v>244</v>
      </c>
      <c r="I5" s="3" t="s">
        <v>182</v>
      </c>
      <c r="J5" s="4">
        <v>40940</v>
      </c>
      <c r="K5" s="4">
        <v>41010</v>
      </c>
      <c r="L5" s="4">
        <v>43678</v>
      </c>
      <c r="M5" s="4">
        <f ca="1">TODAY()</f>
        <v>42886</v>
      </c>
      <c r="N5" s="8">
        <f ca="1">INT((L5-M5)/30)</f>
        <v>26</v>
      </c>
      <c r="O5" s="19" t="s">
        <v>164</v>
      </c>
      <c r="P5" s="26"/>
      <c r="R5" s="60" t="s">
        <v>217</v>
      </c>
    </row>
    <row r="6" spans="2:18" s="21" customFormat="1" ht="19.5" x14ac:dyDescent="0.3">
      <c r="B6" s="16">
        <v>2</v>
      </c>
      <c r="C6" s="15" t="s">
        <v>237</v>
      </c>
      <c r="D6" s="15">
        <v>1</v>
      </c>
      <c r="E6" s="15" t="s">
        <v>237</v>
      </c>
      <c r="F6" s="14">
        <v>1</v>
      </c>
      <c r="G6" s="27" t="s">
        <v>502</v>
      </c>
      <c r="H6" s="2" t="s">
        <v>245</v>
      </c>
      <c r="I6" s="3" t="s">
        <v>182</v>
      </c>
      <c r="J6" s="4">
        <v>40940</v>
      </c>
      <c r="K6" s="4">
        <v>41010</v>
      </c>
      <c r="L6" s="4">
        <v>43678</v>
      </c>
      <c r="M6" s="4">
        <f ca="1">TODAY()</f>
        <v>42886</v>
      </c>
      <c r="N6" s="8">
        <f ca="1">INT((L6-M6)/30)</f>
        <v>26</v>
      </c>
      <c r="O6" s="19" t="s">
        <v>164</v>
      </c>
      <c r="P6" s="26"/>
      <c r="R6" s="60" t="s">
        <v>218</v>
      </c>
    </row>
    <row r="7" spans="2:18" s="21" customFormat="1" ht="19.5" x14ac:dyDescent="0.3">
      <c r="B7" s="16">
        <v>2</v>
      </c>
      <c r="C7" s="15" t="s">
        <v>237</v>
      </c>
      <c r="D7" s="15">
        <v>1</v>
      </c>
      <c r="E7" s="15" t="s">
        <v>237</v>
      </c>
      <c r="F7" s="14">
        <v>1</v>
      </c>
      <c r="G7" s="27" t="s">
        <v>502</v>
      </c>
      <c r="H7" s="2" t="s">
        <v>246</v>
      </c>
      <c r="I7" s="3" t="s">
        <v>182</v>
      </c>
      <c r="J7" s="4">
        <v>40940</v>
      </c>
      <c r="K7" s="4">
        <v>41010</v>
      </c>
      <c r="L7" s="4">
        <v>43678</v>
      </c>
      <c r="M7" s="4">
        <f ca="1">TODAY()</f>
        <v>42886</v>
      </c>
      <c r="N7" s="8">
        <f ca="1">INT((L7-M7)/30)</f>
        <v>26</v>
      </c>
      <c r="O7" s="19" t="s">
        <v>164</v>
      </c>
      <c r="P7" s="26"/>
      <c r="R7" s="60" t="s">
        <v>219</v>
      </c>
    </row>
    <row r="8" spans="2:18" s="21" customFormat="1" ht="19.5" x14ac:dyDescent="0.3">
      <c r="B8" s="16">
        <v>2</v>
      </c>
      <c r="C8" s="15" t="s">
        <v>183</v>
      </c>
      <c r="D8" s="15">
        <v>2</v>
      </c>
      <c r="E8" s="15" t="s">
        <v>183</v>
      </c>
      <c r="F8" s="14">
        <v>1</v>
      </c>
      <c r="G8" s="27" t="s">
        <v>503</v>
      </c>
      <c r="H8" s="2" t="s">
        <v>247</v>
      </c>
      <c r="I8" s="3" t="s">
        <v>240</v>
      </c>
      <c r="J8" s="4">
        <v>40940</v>
      </c>
      <c r="K8" s="4">
        <v>41010</v>
      </c>
      <c r="L8" s="4">
        <v>43678</v>
      </c>
      <c r="M8" s="4">
        <f ca="1">TODAY()</f>
        <v>42886</v>
      </c>
      <c r="N8" s="8">
        <f ca="1">INT((L8-M8)/30)</f>
        <v>26</v>
      </c>
      <c r="O8" s="19" t="s">
        <v>164</v>
      </c>
      <c r="P8" s="26"/>
      <c r="R8" s="60" t="s">
        <v>220</v>
      </c>
    </row>
    <row r="9" spans="2:18" s="21" customFormat="1" ht="19.5" x14ac:dyDescent="0.3">
      <c r="B9" s="16">
        <v>2</v>
      </c>
      <c r="C9" s="15" t="s">
        <v>184</v>
      </c>
      <c r="D9" s="15">
        <v>3</v>
      </c>
      <c r="E9" s="15" t="s">
        <v>184</v>
      </c>
      <c r="F9" s="14">
        <v>3</v>
      </c>
      <c r="G9" s="27" t="s">
        <v>504</v>
      </c>
      <c r="H9" s="2" t="s">
        <v>264</v>
      </c>
      <c r="I9" s="3" t="s">
        <v>198</v>
      </c>
      <c r="J9" s="4">
        <v>42186</v>
      </c>
      <c r="K9" s="4">
        <v>42485</v>
      </c>
      <c r="L9" s="4">
        <v>44105</v>
      </c>
      <c r="M9" s="4">
        <f ca="1">TODAY()</f>
        <v>42886</v>
      </c>
      <c r="N9" s="8">
        <f ca="1">INT((L9-M9)/30)</f>
        <v>40</v>
      </c>
      <c r="O9" s="19" t="s">
        <v>164</v>
      </c>
      <c r="P9" s="26"/>
      <c r="R9" s="60" t="s">
        <v>221</v>
      </c>
    </row>
    <row r="10" spans="2:18" s="21" customFormat="1" ht="19.5" x14ac:dyDescent="0.3">
      <c r="B10" s="16">
        <v>2</v>
      </c>
      <c r="C10" s="15" t="s">
        <v>237</v>
      </c>
      <c r="D10" s="15">
        <v>3</v>
      </c>
      <c r="E10" s="15" t="s">
        <v>237</v>
      </c>
      <c r="F10" s="14">
        <v>3</v>
      </c>
      <c r="G10" s="27" t="s">
        <v>504</v>
      </c>
      <c r="H10" s="2" t="s">
        <v>265</v>
      </c>
      <c r="I10" s="3" t="s">
        <v>198</v>
      </c>
      <c r="J10" s="4">
        <v>42186</v>
      </c>
      <c r="K10" s="4">
        <v>42485</v>
      </c>
      <c r="L10" s="4">
        <v>44105</v>
      </c>
      <c r="M10" s="4">
        <f ca="1">TODAY()</f>
        <v>42886</v>
      </c>
      <c r="N10" s="8">
        <f ca="1">INT((L10-M10)/30)</f>
        <v>40</v>
      </c>
      <c r="O10" s="19" t="s">
        <v>164</v>
      </c>
      <c r="P10" s="26"/>
      <c r="R10" s="60" t="s">
        <v>416</v>
      </c>
    </row>
    <row r="11" spans="2:18" s="21" customFormat="1" ht="19.5" x14ac:dyDescent="0.3">
      <c r="B11" s="16">
        <v>2</v>
      </c>
      <c r="C11" s="15" t="s">
        <v>237</v>
      </c>
      <c r="D11" s="15">
        <v>3</v>
      </c>
      <c r="E11" s="15" t="s">
        <v>237</v>
      </c>
      <c r="F11" s="14">
        <v>3</v>
      </c>
      <c r="G11" s="27" t="s">
        <v>504</v>
      </c>
      <c r="H11" s="2" t="s">
        <v>266</v>
      </c>
      <c r="I11" s="3" t="s">
        <v>198</v>
      </c>
      <c r="J11" s="4">
        <v>42186</v>
      </c>
      <c r="K11" s="4">
        <v>42485</v>
      </c>
      <c r="L11" s="4">
        <v>44105</v>
      </c>
      <c r="M11" s="4">
        <f ca="1">TODAY()</f>
        <v>42886</v>
      </c>
      <c r="N11" s="8">
        <f ca="1">INT((L11-M11)/30)</f>
        <v>40</v>
      </c>
      <c r="O11" s="19" t="s">
        <v>164</v>
      </c>
      <c r="P11" s="26"/>
      <c r="R11" s="60" t="s">
        <v>463</v>
      </c>
    </row>
    <row r="12" spans="2:18" s="21" customFormat="1" ht="19.5" x14ac:dyDescent="0.3">
      <c r="B12" s="16">
        <v>2</v>
      </c>
      <c r="C12" s="15" t="s">
        <v>237</v>
      </c>
      <c r="D12" s="15">
        <v>3</v>
      </c>
      <c r="E12" s="15" t="s">
        <v>237</v>
      </c>
      <c r="F12" s="14">
        <v>3</v>
      </c>
      <c r="G12" s="33" t="s">
        <v>504</v>
      </c>
      <c r="H12" s="5" t="s">
        <v>267</v>
      </c>
      <c r="I12" s="6" t="s">
        <v>198</v>
      </c>
      <c r="J12" s="7">
        <v>42186</v>
      </c>
      <c r="K12" s="7">
        <v>42485</v>
      </c>
      <c r="L12" s="7">
        <v>44105</v>
      </c>
      <c r="M12" s="4">
        <f ca="1">TODAY()</f>
        <v>42886</v>
      </c>
      <c r="N12" s="8">
        <f ca="1">INT((L12-M12)/30)</f>
        <v>40</v>
      </c>
      <c r="O12" s="19" t="s">
        <v>164</v>
      </c>
      <c r="P12" s="35"/>
      <c r="R12" s="60" t="s">
        <v>242</v>
      </c>
    </row>
    <row r="13" spans="2:18" s="21" customFormat="1" ht="19.5" x14ac:dyDescent="0.3">
      <c r="B13" s="16">
        <v>2</v>
      </c>
      <c r="C13" s="15" t="s">
        <v>237</v>
      </c>
      <c r="D13" s="15">
        <v>3</v>
      </c>
      <c r="E13" s="15" t="s">
        <v>237</v>
      </c>
      <c r="F13" s="14">
        <v>3</v>
      </c>
      <c r="G13" s="33" t="s">
        <v>504</v>
      </c>
      <c r="H13" s="5" t="s">
        <v>268</v>
      </c>
      <c r="I13" s="6" t="s">
        <v>198</v>
      </c>
      <c r="J13" s="7">
        <v>42186</v>
      </c>
      <c r="K13" s="7">
        <v>42485</v>
      </c>
      <c r="L13" s="7">
        <v>44105</v>
      </c>
      <c r="M13" s="4">
        <f ca="1">TODAY()</f>
        <v>42886</v>
      </c>
      <c r="N13" s="8">
        <f ca="1">INT((L13-M13)/30)</f>
        <v>40</v>
      </c>
      <c r="O13" s="19" t="s">
        <v>164</v>
      </c>
      <c r="P13" s="35"/>
      <c r="R13" s="60" t="s">
        <v>181</v>
      </c>
    </row>
    <row r="14" spans="2:18" s="21" customFormat="1" ht="19.5" x14ac:dyDescent="0.3">
      <c r="B14" s="16">
        <v>2</v>
      </c>
      <c r="C14" s="15" t="s">
        <v>237</v>
      </c>
      <c r="D14" s="15">
        <v>3</v>
      </c>
      <c r="E14" s="15" t="s">
        <v>237</v>
      </c>
      <c r="F14" s="14">
        <v>3</v>
      </c>
      <c r="G14" s="33" t="s">
        <v>504</v>
      </c>
      <c r="H14" s="5" t="s">
        <v>269</v>
      </c>
      <c r="I14" s="6" t="s">
        <v>198</v>
      </c>
      <c r="J14" s="7">
        <v>42186</v>
      </c>
      <c r="K14" s="7">
        <v>42485</v>
      </c>
      <c r="L14" s="7">
        <v>44105</v>
      </c>
      <c r="M14" s="4">
        <f ca="1">TODAY()</f>
        <v>42886</v>
      </c>
      <c r="N14" s="8">
        <f ca="1">INT((L14-M14)/30)</f>
        <v>40</v>
      </c>
      <c r="O14" s="19" t="s">
        <v>164</v>
      </c>
      <c r="P14" s="35"/>
      <c r="R14" s="60" t="s">
        <v>224</v>
      </c>
    </row>
    <row r="15" spans="2:18" s="21" customFormat="1" ht="19.5" x14ac:dyDescent="0.3">
      <c r="B15" s="16">
        <v>2</v>
      </c>
      <c r="C15" s="15" t="s">
        <v>237</v>
      </c>
      <c r="D15" s="15">
        <v>3</v>
      </c>
      <c r="E15" s="15" t="s">
        <v>237</v>
      </c>
      <c r="F15" s="14">
        <v>3</v>
      </c>
      <c r="G15" s="33" t="s">
        <v>504</v>
      </c>
      <c r="H15" s="5" t="s">
        <v>270</v>
      </c>
      <c r="I15" s="6" t="s">
        <v>198</v>
      </c>
      <c r="J15" s="7">
        <v>42186</v>
      </c>
      <c r="K15" s="7">
        <v>42485</v>
      </c>
      <c r="L15" s="7">
        <v>44105</v>
      </c>
      <c r="M15" s="4">
        <f ca="1">TODAY()</f>
        <v>42886</v>
      </c>
      <c r="N15" s="8">
        <f ca="1">INT((L15-M15)/30)</f>
        <v>40</v>
      </c>
      <c r="O15" s="19" t="s">
        <v>164</v>
      </c>
      <c r="P15" s="35"/>
      <c r="R15" s="60" t="s">
        <v>225</v>
      </c>
    </row>
    <row r="16" spans="2:18" s="21" customFormat="1" ht="19.5" x14ac:dyDescent="0.3">
      <c r="B16" s="16">
        <v>2</v>
      </c>
      <c r="C16" s="15" t="s">
        <v>237</v>
      </c>
      <c r="D16" s="15">
        <v>3</v>
      </c>
      <c r="E16" s="15" t="s">
        <v>237</v>
      </c>
      <c r="F16" s="14">
        <v>3</v>
      </c>
      <c r="G16" s="33" t="s">
        <v>504</v>
      </c>
      <c r="H16" s="5" t="s">
        <v>271</v>
      </c>
      <c r="I16" s="6" t="s">
        <v>198</v>
      </c>
      <c r="J16" s="7">
        <v>42186</v>
      </c>
      <c r="K16" s="7">
        <v>42485</v>
      </c>
      <c r="L16" s="7">
        <v>44105</v>
      </c>
      <c r="M16" s="4">
        <f ca="1">TODAY()</f>
        <v>42886</v>
      </c>
      <c r="N16" s="8">
        <f ca="1">INT((L16-M16)/30)</f>
        <v>40</v>
      </c>
      <c r="O16" s="19" t="s">
        <v>164</v>
      </c>
      <c r="P16" s="35"/>
      <c r="R16" s="60" t="s">
        <v>417</v>
      </c>
    </row>
    <row r="17" spans="2:18" s="21" customFormat="1" ht="19.5" x14ac:dyDescent="0.3">
      <c r="B17" s="16">
        <v>2</v>
      </c>
      <c r="C17" s="15" t="s">
        <v>237</v>
      </c>
      <c r="D17" s="15">
        <v>3</v>
      </c>
      <c r="E17" s="15" t="s">
        <v>237</v>
      </c>
      <c r="F17" s="14">
        <v>3</v>
      </c>
      <c r="G17" s="33" t="s">
        <v>504</v>
      </c>
      <c r="H17" s="5" t="s">
        <v>272</v>
      </c>
      <c r="I17" s="6" t="s">
        <v>198</v>
      </c>
      <c r="J17" s="7">
        <v>42186</v>
      </c>
      <c r="K17" s="7">
        <v>42485</v>
      </c>
      <c r="L17" s="7">
        <v>44105</v>
      </c>
      <c r="M17" s="4">
        <f ca="1">TODAY()</f>
        <v>42886</v>
      </c>
      <c r="N17" s="8">
        <f ca="1">INT((L17-M17)/30)</f>
        <v>40</v>
      </c>
      <c r="O17" s="19" t="s">
        <v>164</v>
      </c>
      <c r="P17" s="35"/>
      <c r="R17" s="60" t="s">
        <v>227</v>
      </c>
    </row>
    <row r="18" spans="2:18" s="21" customFormat="1" ht="19.5" x14ac:dyDescent="0.3">
      <c r="B18" s="16">
        <v>2</v>
      </c>
      <c r="C18" s="15" t="s">
        <v>237</v>
      </c>
      <c r="D18" s="15">
        <v>3</v>
      </c>
      <c r="E18" s="15" t="s">
        <v>237</v>
      </c>
      <c r="F18" s="14">
        <v>3</v>
      </c>
      <c r="G18" s="33" t="s">
        <v>504</v>
      </c>
      <c r="H18" s="5" t="s">
        <v>273</v>
      </c>
      <c r="I18" s="6" t="s">
        <v>198</v>
      </c>
      <c r="J18" s="7">
        <v>42186</v>
      </c>
      <c r="K18" s="7">
        <v>42485</v>
      </c>
      <c r="L18" s="7">
        <v>44105</v>
      </c>
      <c r="M18" s="4">
        <f ca="1">TODAY()</f>
        <v>42886</v>
      </c>
      <c r="N18" s="8">
        <f ca="1">INT((L18-M18)/30)</f>
        <v>40</v>
      </c>
      <c r="O18" s="19" t="s">
        <v>164</v>
      </c>
      <c r="P18" s="35"/>
    </row>
    <row r="19" spans="2:18" s="21" customFormat="1" ht="19.5" x14ac:dyDescent="0.3">
      <c r="B19" s="16">
        <v>2</v>
      </c>
      <c r="C19" s="15" t="s">
        <v>184</v>
      </c>
      <c r="D19" s="15">
        <v>4</v>
      </c>
      <c r="E19" s="15" t="s">
        <v>184</v>
      </c>
      <c r="F19" s="14">
        <v>3</v>
      </c>
      <c r="G19" s="33" t="s">
        <v>505</v>
      </c>
      <c r="H19" s="5" t="s">
        <v>277</v>
      </c>
      <c r="I19" s="6" t="s">
        <v>198</v>
      </c>
      <c r="J19" s="7">
        <v>42186</v>
      </c>
      <c r="K19" s="7">
        <v>42299</v>
      </c>
      <c r="L19" s="7">
        <v>44105</v>
      </c>
      <c r="M19" s="4">
        <f ca="1">TODAY()</f>
        <v>42886</v>
      </c>
      <c r="N19" s="8">
        <f ca="1">INT((L19-M19)/30)</f>
        <v>40</v>
      </c>
      <c r="O19" s="19" t="s">
        <v>164</v>
      </c>
      <c r="P19" s="35"/>
    </row>
    <row r="20" spans="2:18" s="21" customFormat="1" ht="19.5" x14ac:dyDescent="0.3">
      <c r="B20" s="16">
        <v>2</v>
      </c>
      <c r="C20" s="15" t="s">
        <v>237</v>
      </c>
      <c r="D20" s="15">
        <v>4</v>
      </c>
      <c r="E20" s="15" t="s">
        <v>237</v>
      </c>
      <c r="F20" s="14">
        <v>3</v>
      </c>
      <c r="G20" s="33" t="s">
        <v>505</v>
      </c>
      <c r="H20" s="5" t="s">
        <v>278</v>
      </c>
      <c r="I20" s="6" t="s">
        <v>198</v>
      </c>
      <c r="J20" s="7">
        <v>42186</v>
      </c>
      <c r="K20" s="7">
        <v>42299</v>
      </c>
      <c r="L20" s="7">
        <v>44105</v>
      </c>
      <c r="M20" s="4">
        <f ca="1">TODAY()</f>
        <v>42886</v>
      </c>
      <c r="N20" s="8">
        <f ca="1">INT((L20-M20)/30)</f>
        <v>40</v>
      </c>
      <c r="O20" s="19" t="s">
        <v>164</v>
      </c>
      <c r="P20" s="35"/>
    </row>
    <row r="21" spans="2:18" s="21" customFormat="1" ht="19.5" x14ac:dyDescent="0.3">
      <c r="B21" s="16">
        <v>2</v>
      </c>
      <c r="C21" s="15" t="s">
        <v>184</v>
      </c>
      <c r="D21" s="15">
        <v>6</v>
      </c>
      <c r="E21" s="15" t="s">
        <v>184</v>
      </c>
      <c r="F21" s="14">
        <v>5</v>
      </c>
      <c r="G21" s="33" t="s">
        <v>506</v>
      </c>
      <c r="H21" s="5" t="s">
        <v>199</v>
      </c>
      <c r="I21" s="6" t="s">
        <v>198</v>
      </c>
      <c r="J21" s="7">
        <v>42186</v>
      </c>
      <c r="K21" s="7">
        <v>42299</v>
      </c>
      <c r="L21" s="7">
        <v>44105</v>
      </c>
      <c r="M21" s="4">
        <f ca="1">TODAY()</f>
        <v>42886</v>
      </c>
      <c r="N21" s="8">
        <f ca="1">INT((L21-M21)/30)</f>
        <v>40</v>
      </c>
      <c r="O21" s="19" t="s">
        <v>164</v>
      </c>
      <c r="P21" s="35"/>
    </row>
    <row r="22" spans="2:18" s="21" customFormat="1" ht="19.5" x14ac:dyDescent="0.3">
      <c r="B22" s="16">
        <v>2</v>
      </c>
      <c r="C22" s="15" t="s">
        <v>279</v>
      </c>
      <c r="D22" s="15">
        <v>7</v>
      </c>
      <c r="E22" s="15" t="s">
        <v>184</v>
      </c>
      <c r="F22" s="14">
        <v>1</v>
      </c>
      <c r="G22" s="33" t="s">
        <v>507</v>
      </c>
      <c r="H22" s="5" t="s">
        <v>274</v>
      </c>
      <c r="I22" s="6" t="s">
        <v>198</v>
      </c>
      <c r="J22" s="7">
        <v>42186</v>
      </c>
      <c r="K22" s="7">
        <v>42299</v>
      </c>
      <c r="L22" s="7">
        <v>44105</v>
      </c>
      <c r="M22" s="4">
        <f ca="1">TODAY()</f>
        <v>42886</v>
      </c>
      <c r="N22" s="8">
        <f ca="1">INT((L22-M22)/30)</f>
        <v>40</v>
      </c>
      <c r="O22" s="19" t="s">
        <v>164</v>
      </c>
      <c r="P22" s="35"/>
    </row>
    <row r="23" spans="2:18" s="21" customFormat="1" ht="19.5" x14ac:dyDescent="0.3">
      <c r="B23" s="16">
        <v>2</v>
      </c>
      <c r="C23" s="15" t="s">
        <v>237</v>
      </c>
      <c r="D23" s="15">
        <v>7</v>
      </c>
      <c r="E23" s="15" t="s">
        <v>237</v>
      </c>
      <c r="F23" s="14">
        <v>1</v>
      </c>
      <c r="G23" s="33" t="s">
        <v>238</v>
      </c>
      <c r="H23" s="5" t="s">
        <v>275</v>
      </c>
      <c r="I23" s="6" t="s">
        <v>198</v>
      </c>
      <c r="J23" s="7">
        <v>42186</v>
      </c>
      <c r="K23" s="7">
        <v>42299</v>
      </c>
      <c r="L23" s="7">
        <v>44105</v>
      </c>
      <c r="M23" s="4">
        <f ca="1">TODAY()</f>
        <v>42886</v>
      </c>
      <c r="N23" s="8">
        <f ca="1">INT((L23-M23)/30)</f>
        <v>40</v>
      </c>
      <c r="O23" s="19" t="s">
        <v>164</v>
      </c>
      <c r="P23" s="35"/>
    </row>
    <row r="24" spans="2:18" s="21" customFormat="1" ht="19.5" x14ac:dyDescent="0.3">
      <c r="B24" s="16">
        <v>2</v>
      </c>
      <c r="C24" s="15" t="s">
        <v>237</v>
      </c>
      <c r="D24" s="15">
        <v>7</v>
      </c>
      <c r="E24" s="15" t="s">
        <v>237</v>
      </c>
      <c r="F24" s="14">
        <v>1</v>
      </c>
      <c r="G24" s="33" t="s">
        <v>507</v>
      </c>
      <c r="H24" s="5" t="s">
        <v>276</v>
      </c>
      <c r="I24" s="6" t="s">
        <v>198</v>
      </c>
      <c r="J24" s="7">
        <v>42186</v>
      </c>
      <c r="K24" s="7">
        <v>42299</v>
      </c>
      <c r="L24" s="7">
        <v>44105</v>
      </c>
      <c r="M24" s="4">
        <f ca="1">TODAY()</f>
        <v>42886</v>
      </c>
      <c r="N24" s="8">
        <f ca="1">INT((L24-M24)/30)</f>
        <v>40</v>
      </c>
      <c r="O24" s="19" t="s">
        <v>164</v>
      </c>
      <c r="P24" s="35"/>
    </row>
    <row r="25" spans="2:18" s="21" customFormat="1" ht="19.5" hidden="1" x14ac:dyDescent="0.3">
      <c r="B25" s="16">
        <v>3</v>
      </c>
      <c r="C25" s="15" t="s">
        <v>184</v>
      </c>
      <c r="D25" s="15">
        <v>1</v>
      </c>
      <c r="E25" s="15" t="s">
        <v>184</v>
      </c>
      <c r="F25" s="14">
        <v>1</v>
      </c>
      <c r="G25" s="33" t="s">
        <v>508</v>
      </c>
      <c r="H25" s="5" t="s">
        <v>248</v>
      </c>
      <c r="I25" s="6" t="s">
        <v>185</v>
      </c>
      <c r="J25" s="7">
        <v>39661</v>
      </c>
      <c r="K25" s="7">
        <v>40350</v>
      </c>
      <c r="L25" s="7">
        <v>42552</v>
      </c>
      <c r="M25" s="4">
        <f ca="1">TODAY()</f>
        <v>42886</v>
      </c>
      <c r="N25" s="12">
        <f ca="1">INT((L25-M25)/30)</f>
        <v>-12</v>
      </c>
      <c r="O25" s="19" t="s">
        <v>165</v>
      </c>
      <c r="P25" s="35" t="s">
        <v>419</v>
      </c>
    </row>
    <row r="26" spans="2:18" s="21" customFormat="1" ht="19.5" hidden="1" x14ac:dyDescent="0.3">
      <c r="B26" s="16">
        <v>3</v>
      </c>
      <c r="C26" s="15" t="s">
        <v>237</v>
      </c>
      <c r="D26" s="15">
        <v>1</v>
      </c>
      <c r="E26" s="15" t="s">
        <v>237</v>
      </c>
      <c r="F26" s="14">
        <v>1</v>
      </c>
      <c r="G26" s="33" t="s">
        <v>508</v>
      </c>
      <c r="H26" s="5" t="s">
        <v>249</v>
      </c>
      <c r="I26" s="6" t="s">
        <v>185</v>
      </c>
      <c r="J26" s="7">
        <v>39661</v>
      </c>
      <c r="K26" s="7">
        <v>40350</v>
      </c>
      <c r="L26" s="7">
        <v>42552</v>
      </c>
      <c r="M26" s="4">
        <f ca="1">TODAY()</f>
        <v>42886</v>
      </c>
      <c r="N26" s="12">
        <f ca="1">INT((L26-M26)/30)</f>
        <v>-12</v>
      </c>
      <c r="O26" s="19" t="s">
        <v>165</v>
      </c>
      <c r="P26" s="35" t="s">
        <v>511</v>
      </c>
    </row>
    <row r="27" spans="2:18" s="21" customFormat="1" ht="19.5" hidden="1" x14ac:dyDescent="0.3">
      <c r="B27" s="16">
        <v>3</v>
      </c>
      <c r="C27" s="15" t="s">
        <v>237</v>
      </c>
      <c r="D27" s="15">
        <v>1</v>
      </c>
      <c r="E27" s="15" t="s">
        <v>237</v>
      </c>
      <c r="F27" s="14">
        <v>1</v>
      </c>
      <c r="G27" s="33" t="s">
        <v>508</v>
      </c>
      <c r="H27" s="5" t="s">
        <v>250</v>
      </c>
      <c r="I27" s="6" t="s">
        <v>185</v>
      </c>
      <c r="J27" s="7">
        <v>39661</v>
      </c>
      <c r="K27" s="7">
        <v>40350</v>
      </c>
      <c r="L27" s="7">
        <v>42552</v>
      </c>
      <c r="M27" s="4">
        <f ca="1">TODAY()</f>
        <v>42886</v>
      </c>
      <c r="N27" s="12">
        <f ca="1">INT((L27-M27)/30)</f>
        <v>-12</v>
      </c>
      <c r="O27" s="19" t="s">
        <v>165</v>
      </c>
      <c r="P27" s="35" t="s">
        <v>511</v>
      </c>
    </row>
    <row r="28" spans="2:18" s="21" customFormat="1" ht="19.5" hidden="1" x14ac:dyDescent="0.3">
      <c r="B28" s="16">
        <v>3</v>
      </c>
      <c r="C28" s="15" t="s">
        <v>237</v>
      </c>
      <c r="D28" s="15">
        <v>1</v>
      </c>
      <c r="E28" s="15" t="s">
        <v>237</v>
      </c>
      <c r="F28" s="14">
        <v>1</v>
      </c>
      <c r="G28" s="33" t="s">
        <v>508</v>
      </c>
      <c r="H28" s="5" t="s">
        <v>251</v>
      </c>
      <c r="I28" s="6" t="s">
        <v>185</v>
      </c>
      <c r="J28" s="7">
        <v>39661</v>
      </c>
      <c r="K28" s="7">
        <v>40350</v>
      </c>
      <c r="L28" s="7">
        <v>42552</v>
      </c>
      <c r="M28" s="4">
        <f ca="1">TODAY()</f>
        <v>42886</v>
      </c>
      <c r="N28" s="12">
        <f ca="1">INT((L28-M28)/30)</f>
        <v>-12</v>
      </c>
      <c r="O28" s="19" t="s">
        <v>165</v>
      </c>
      <c r="P28" s="35" t="s">
        <v>511</v>
      </c>
    </row>
    <row r="29" spans="2:18" s="21" customFormat="1" ht="19.5" hidden="1" x14ac:dyDescent="0.3">
      <c r="B29" s="16">
        <v>3</v>
      </c>
      <c r="C29" s="15" t="s">
        <v>237</v>
      </c>
      <c r="D29" s="15">
        <v>1</v>
      </c>
      <c r="E29" s="15" t="s">
        <v>237</v>
      </c>
      <c r="F29" s="14">
        <v>1</v>
      </c>
      <c r="G29" s="33" t="s">
        <v>508</v>
      </c>
      <c r="H29" s="5" t="s">
        <v>252</v>
      </c>
      <c r="I29" s="6" t="s">
        <v>185</v>
      </c>
      <c r="J29" s="7">
        <v>39661</v>
      </c>
      <c r="K29" s="7">
        <v>40350</v>
      </c>
      <c r="L29" s="7">
        <v>42552</v>
      </c>
      <c r="M29" s="4">
        <f ca="1">TODAY()</f>
        <v>42886</v>
      </c>
      <c r="N29" s="12">
        <f ca="1">INT((L29-M29)/30)</f>
        <v>-12</v>
      </c>
      <c r="O29" s="19" t="s">
        <v>165</v>
      </c>
      <c r="P29" s="35" t="s">
        <v>511</v>
      </c>
    </row>
    <row r="30" spans="2:18" s="21" customFormat="1" ht="19.5" hidden="1" x14ac:dyDescent="0.3">
      <c r="B30" s="16">
        <v>3</v>
      </c>
      <c r="C30" s="15" t="s">
        <v>237</v>
      </c>
      <c r="D30" s="15">
        <v>1</v>
      </c>
      <c r="E30" s="15" t="s">
        <v>237</v>
      </c>
      <c r="F30" s="14">
        <v>1</v>
      </c>
      <c r="G30" s="33" t="s">
        <v>508</v>
      </c>
      <c r="H30" s="5" t="s">
        <v>253</v>
      </c>
      <c r="I30" s="6" t="s">
        <v>185</v>
      </c>
      <c r="J30" s="7">
        <v>39661</v>
      </c>
      <c r="K30" s="7">
        <v>40350</v>
      </c>
      <c r="L30" s="7">
        <v>42552</v>
      </c>
      <c r="M30" s="4">
        <f ca="1">TODAY()</f>
        <v>42886</v>
      </c>
      <c r="N30" s="12">
        <f ca="1">INT((L30-M30)/30)</f>
        <v>-12</v>
      </c>
      <c r="O30" s="19" t="s">
        <v>165</v>
      </c>
      <c r="P30" s="35" t="s">
        <v>501</v>
      </c>
    </row>
    <row r="31" spans="2:18" s="21" customFormat="1" ht="19.5" hidden="1" x14ac:dyDescent="0.3">
      <c r="B31" s="16">
        <v>3</v>
      </c>
      <c r="C31" s="15" t="s">
        <v>237</v>
      </c>
      <c r="D31" s="15">
        <v>1</v>
      </c>
      <c r="E31" s="15" t="s">
        <v>237</v>
      </c>
      <c r="F31" s="14">
        <v>1</v>
      </c>
      <c r="G31" s="33" t="s">
        <v>508</v>
      </c>
      <c r="H31" s="5" t="s">
        <v>254</v>
      </c>
      <c r="I31" s="6" t="s">
        <v>185</v>
      </c>
      <c r="J31" s="7">
        <v>39661</v>
      </c>
      <c r="K31" s="7">
        <v>40350</v>
      </c>
      <c r="L31" s="7">
        <v>42552</v>
      </c>
      <c r="M31" s="4">
        <f ca="1">TODAY()</f>
        <v>42886</v>
      </c>
      <c r="N31" s="12">
        <f ca="1">INT((L31-M31)/30)</f>
        <v>-12</v>
      </c>
      <c r="O31" s="19" t="s">
        <v>165</v>
      </c>
      <c r="P31" s="35" t="s">
        <v>501</v>
      </c>
    </row>
    <row r="32" spans="2:18" s="21" customFormat="1" ht="19.5" x14ac:dyDescent="0.3">
      <c r="B32" s="16">
        <v>3</v>
      </c>
      <c r="C32" s="15" t="s">
        <v>184</v>
      </c>
      <c r="D32" s="15">
        <v>2</v>
      </c>
      <c r="E32" s="15" t="s">
        <v>184</v>
      </c>
      <c r="F32" s="14">
        <v>2</v>
      </c>
      <c r="G32" s="33" t="s">
        <v>509</v>
      </c>
      <c r="H32" s="5" t="s">
        <v>255</v>
      </c>
      <c r="I32" s="6" t="s">
        <v>186</v>
      </c>
      <c r="J32" s="7">
        <v>41760</v>
      </c>
      <c r="K32" s="7">
        <v>41765</v>
      </c>
      <c r="L32" s="7">
        <v>44105</v>
      </c>
      <c r="M32" s="4">
        <f ca="1">TODAY()</f>
        <v>42886</v>
      </c>
      <c r="N32" s="8">
        <f ca="1">INT((L32-M32)/30)</f>
        <v>40</v>
      </c>
      <c r="O32" s="19" t="s">
        <v>164</v>
      </c>
      <c r="P32" s="35"/>
    </row>
    <row r="33" spans="2:16" s="21" customFormat="1" ht="19.5" x14ac:dyDescent="0.3">
      <c r="B33" s="16">
        <v>4</v>
      </c>
      <c r="C33" s="15" t="s">
        <v>184</v>
      </c>
      <c r="D33" s="15">
        <v>1</v>
      </c>
      <c r="E33" s="15" t="s">
        <v>184</v>
      </c>
      <c r="F33" s="14">
        <v>1</v>
      </c>
      <c r="G33" s="33" t="s">
        <v>510</v>
      </c>
      <c r="H33" s="5" t="s">
        <v>256</v>
      </c>
      <c r="I33" s="6" t="s">
        <v>188</v>
      </c>
      <c r="J33" s="7">
        <v>42064</v>
      </c>
      <c r="K33" s="7">
        <v>42064</v>
      </c>
      <c r="L33" s="7">
        <v>43160</v>
      </c>
      <c r="M33" s="4">
        <f ca="1">TODAY()</f>
        <v>42886</v>
      </c>
      <c r="N33" s="8">
        <f ca="1">INT((L33-M33)/30)</f>
        <v>9</v>
      </c>
      <c r="O33" s="19" t="s">
        <v>164</v>
      </c>
      <c r="P33" s="35"/>
    </row>
    <row r="34" spans="2:16" s="21" customFormat="1" ht="19.5" x14ac:dyDescent="0.3">
      <c r="B34" s="16">
        <v>4</v>
      </c>
      <c r="C34" s="15" t="s">
        <v>237</v>
      </c>
      <c r="D34" s="15">
        <v>1</v>
      </c>
      <c r="E34" s="15" t="s">
        <v>237</v>
      </c>
      <c r="F34" s="14">
        <v>1</v>
      </c>
      <c r="G34" s="33" t="s">
        <v>510</v>
      </c>
      <c r="H34" s="5" t="s">
        <v>257</v>
      </c>
      <c r="I34" s="6" t="s">
        <v>188</v>
      </c>
      <c r="J34" s="7">
        <v>42064</v>
      </c>
      <c r="K34" s="7">
        <v>42064</v>
      </c>
      <c r="L34" s="7">
        <v>43160</v>
      </c>
      <c r="M34" s="4">
        <f ca="1">TODAY()</f>
        <v>42886</v>
      </c>
      <c r="N34" s="8">
        <f ca="1">INT((L34-M34)/30)</f>
        <v>9</v>
      </c>
      <c r="O34" s="19" t="s">
        <v>164</v>
      </c>
      <c r="P34" s="35"/>
    </row>
    <row r="35" spans="2:16" s="21" customFormat="1" ht="19.5" x14ac:dyDescent="0.3">
      <c r="B35" s="16">
        <v>4</v>
      </c>
      <c r="C35" s="15" t="s">
        <v>237</v>
      </c>
      <c r="D35" s="15">
        <v>1</v>
      </c>
      <c r="E35" s="15" t="s">
        <v>237</v>
      </c>
      <c r="F35" s="14">
        <v>1</v>
      </c>
      <c r="G35" s="33" t="s">
        <v>510</v>
      </c>
      <c r="H35" s="5" t="s">
        <v>258</v>
      </c>
      <c r="I35" s="6" t="s">
        <v>188</v>
      </c>
      <c r="J35" s="7">
        <v>42064</v>
      </c>
      <c r="K35" s="7">
        <v>42064</v>
      </c>
      <c r="L35" s="7">
        <v>43160</v>
      </c>
      <c r="M35" s="4">
        <f ca="1">TODAY()</f>
        <v>42886</v>
      </c>
      <c r="N35" s="8">
        <f ca="1">INT((L35-M35)/30)</f>
        <v>9</v>
      </c>
      <c r="O35" s="19" t="s">
        <v>164</v>
      </c>
      <c r="P35" s="35"/>
    </row>
    <row r="36" spans="2:16" s="21" customFormat="1" ht="19.5" x14ac:dyDescent="0.3">
      <c r="B36" s="16">
        <v>4</v>
      </c>
      <c r="C36" s="15" t="s">
        <v>237</v>
      </c>
      <c r="D36" s="15">
        <v>1</v>
      </c>
      <c r="E36" s="15" t="s">
        <v>237</v>
      </c>
      <c r="F36" s="14">
        <v>1</v>
      </c>
      <c r="G36" s="33" t="s">
        <v>510</v>
      </c>
      <c r="H36" s="5" t="s">
        <v>259</v>
      </c>
      <c r="I36" s="6" t="s">
        <v>188</v>
      </c>
      <c r="J36" s="7">
        <v>42064</v>
      </c>
      <c r="K36" s="7">
        <v>42064</v>
      </c>
      <c r="L36" s="7">
        <v>43160</v>
      </c>
      <c r="M36" s="4">
        <f ca="1">TODAY()</f>
        <v>42886</v>
      </c>
      <c r="N36" s="8">
        <f ca="1">INT((L36-M36)/30)</f>
        <v>9</v>
      </c>
      <c r="O36" s="19" t="s">
        <v>164</v>
      </c>
      <c r="P36" s="35"/>
    </row>
    <row r="37" spans="2:16" s="21" customFormat="1" ht="19.5" x14ac:dyDescent="0.3">
      <c r="B37" s="16">
        <v>4</v>
      </c>
      <c r="C37" s="15" t="s">
        <v>237</v>
      </c>
      <c r="D37" s="15">
        <v>1</v>
      </c>
      <c r="E37" s="15" t="s">
        <v>237</v>
      </c>
      <c r="F37" s="14">
        <v>1</v>
      </c>
      <c r="G37" s="33" t="s">
        <v>456</v>
      </c>
      <c r="H37" s="5" t="s">
        <v>260</v>
      </c>
      <c r="I37" s="6" t="s">
        <v>188</v>
      </c>
      <c r="J37" s="7">
        <v>42064</v>
      </c>
      <c r="K37" s="7">
        <v>42064</v>
      </c>
      <c r="L37" s="7">
        <v>43160</v>
      </c>
      <c r="M37" s="4">
        <f ca="1">TODAY()</f>
        <v>42886</v>
      </c>
      <c r="N37" s="8">
        <f ca="1">INT((L37-M37)/30)</f>
        <v>9</v>
      </c>
      <c r="O37" s="19" t="s">
        <v>164</v>
      </c>
      <c r="P37" s="35"/>
    </row>
    <row r="38" spans="2:16" s="21" customFormat="1" ht="19.5" x14ac:dyDescent="0.3">
      <c r="B38" s="16">
        <v>4</v>
      </c>
      <c r="C38" s="15" t="s">
        <v>237</v>
      </c>
      <c r="D38" s="15">
        <v>1</v>
      </c>
      <c r="E38" s="15" t="s">
        <v>237</v>
      </c>
      <c r="F38" s="14">
        <v>1</v>
      </c>
      <c r="G38" s="33" t="s">
        <v>456</v>
      </c>
      <c r="H38" s="5" t="s">
        <v>261</v>
      </c>
      <c r="I38" s="6" t="s">
        <v>188</v>
      </c>
      <c r="J38" s="7">
        <v>42064</v>
      </c>
      <c r="K38" s="7">
        <v>42064</v>
      </c>
      <c r="L38" s="7">
        <v>43160</v>
      </c>
      <c r="M38" s="4">
        <f ca="1">TODAY()</f>
        <v>42886</v>
      </c>
      <c r="N38" s="8">
        <f ca="1">INT((L38-M38)/30)</f>
        <v>9</v>
      </c>
      <c r="O38" s="19" t="s">
        <v>164</v>
      </c>
      <c r="P38" s="35"/>
    </row>
    <row r="39" spans="2:16" s="21" customFormat="1" ht="19.5" x14ac:dyDescent="0.3">
      <c r="B39" s="16">
        <v>4</v>
      </c>
      <c r="C39" s="15" t="s">
        <v>237</v>
      </c>
      <c r="D39" s="15">
        <v>1</v>
      </c>
      <c r="E39" s="15" t="s">
        <v>237</v>
      </c>
      <c r="F39" s="14">
        <v>1</v>
      </c>
      <c r="G39" s="33" t="s">
        <v>456</v>
      </c>
      <c r="H39" s="5" t="s">
        <v>262</v>
      </c>
      <c r="I39" s="6" t="s">
        <v>188</v>
      </c>
      <c r="J39" s="7">
        <v>42064</v>
      </c>
      <c r="K39" s="7">
        <v>42064</v>
      </c>
      <c r="L39" s="7">
        <v>43160</v>
      </c>
      <c r="M39" s="4">
        <f ca="1">TODAY()</f>
        <v>42886</v>
      </c>
      <c r="N39" s="8">
        <f ca="1">INT((L39-M39)/30)</f>
        <v>9</v>
      </c>
      <c r="O39" s="19" t="s">
        <v>164</v>
      </c>
      <c r="P39" s="35"/>
    </row>
    <row r="40" spans="2:16" s="21" customFormat="1" ht="19.5" x14ac:dyDescent="0.3">
      <c r="B40" s="16">
        <v>4</v>
      </c>
      <c r="C40" s="15" t="s">
        <v>237</v>
      </c>
      <c r="D40" s="15">
        <v>1</v>
      </c>
      <c r="E40" s="15" t="s">
        <v>237</v>
      </c>
      <c r="F40" s="14">
        <v>1</v>
      </c>
      <c r="G40" s="33" t="s">
        <v>456</v>
      </c>
      <c r="H40" s="5" t="s">
        <v>263</v>
      </c>
      <c r="I40" s="6" t="s">
        <v>188</v>
      </c>
      <c r="J40" s="7">
        <v>42064</v>
      </c>
      <c r="K40" s="7">
        <v>42064</v>
      </c>
      <c r="L40" s="7">
        <v>43160</v>
      </c>
      <c r="M40" s="4">
        <f ca="1">TODAY()</f>
        <v>42886</v>
      </c>
      <c r="N40" s="8">
        <f ca="1">INT((L40-M40)/30)</f>
        <v>9</v>
      </c>
      <c r="O40" s="19" t="s">
        <v>164</v>
      </c>
      <c r="P40" s="35"/>
    </row>
    <row r="41" spans="2:16" s="21" customFormat="1" ht="19.5" x14ac:dyDescent="0.3">
      <c r="B41" s="16">
        <v>5</v>
      </c>
      <c r="C41" s="15" t="s">
        <v>184</v>
      </c>
      <c r="D41" s="15">
        <v>1</v>
      </c>
      <c r="E41" s="15" t="s">
        <v>184</v>
      </c>
      <c r="F41" s="14">
        <v>2</v>
      </c>
      <c r="G41" s="33" t="s">
        <v>427</v>
      </c>
      <c r="H41" s="5" t="s">
        <v>189</v>
      </c>
      <c r="I41" s="6" t="s">
        <v>190</v>
      </c>
      <c r="J41" s="7">
        <v>41821</v>
      </c>
      <c r="K41" s="7">
        <v>41821</v>
      </c>
      <c r="L41" s="7">
        <v>42917</v>
      </c>
      <c r="M41" s="4">
        <f ca="1">TODAY()</f>
        <v>42886</v>
      </c>
      <c r="N41" s="9">
        <f ca="1">INT((L41-M41)/30)</f>
        <v>1</v>
      </c>
      <c r="O41" s="19" t="s">
        <v>164</v>
      </c>
      <c r="P41" s="35"/>
    </row>
    <row r="42" spans="2:16" s="21" customFormat="1" ht="19.5" x14ac:dyDescent="0.3">
      <c r="B42" s="16">
        <v>10</v>
      </c>
      <c r="C42" s="15" t="s">
        <v>184</v>
      </c>
      <c r="D42" s="15">
        <v>2</v>
      </c>
      <c r="E42" s="15" t="s">
        <v>184</v>
      </c>
      <c r="F42" s="14">
        <v>1</v>
      </c>
      <c r="G42" s="33" t="s">
        <v>458</v>
      </c>
      <c r="H42" s="5" t="s">
        <v>192</v>
      </c>
      <c r="I42" s="6" t="s">
        <v>197</v>
      </c>
      <c r="J42" s="7">
        <v>42186</v>
      </c>
      <c r="K42" s="7">
        <v>42186</v>
      </c>
      <c r="L42" s="7">
        <v>43282</v>
      </c>
      <c r="M42" s="4">
        <f ca="1">TODAY()</f>
        <v>42886</v>
      </c>
      <c r="N42" s="8">
        <f ca="1">INT((L42-M42)/30)</f>
        <v>13</v>
      </c>
      <c r="O42" s="19" t="s">
        <v>164</v>
      </c>
      <c r="P42" s="35"/>
    </row>
    <row r="43" spans="2:16" s="21" customFormat="1" ht="19.5" x14ac:dyDescent="0.3">
      <c r="B43" s="16">
        <v>10</v>
      </c>
      <c r="C43" s="15" t="s">
        <v>184</v>
      </c>
      <c r="D43" s="15">
        <v>2</v>
      </c>
      <c r="E43" s="15" t="s">
        <v>184</v>
      </c>
      <c r="F43" s="14">
        <v>3</v>
      </c>
      <c r="G43" s="33" t="s">
        <v>418</v>
      </c>
      <c r="H43" s="5" t="s">
        <v>196</v>
      </c>
      <c r="I43" s="6" t="s">
        <v>197</v>
      </c>
      <c r="J43" s="7">
        <v>42186</v>
      </c>
      <c r="K43" s="7">
        <v>42186</v>
      </c>
      <c r="L43" s="7">
        <v>43282</v>
      </c>
      <c r="M43" s="4">
        <f ca="1">TODAY()</f>
        <v>42886</v>
      </c>
      <c r="N43" s="8">
        <f ca="1">INT((L43-M43)/30)</f>
        <v>13</v>
      </c>
      <c r="O43" s="19" t="s">
        <v>164</v>
      </c>
      <c r="P43" s="35"/>
    </row>
    <row r="44" spans="2:16" s="21" customFormat="1" ht="19.5" x14ac:dyDescent="0.3">
      <c r="B44" s="16">
        <v>10</v>
      </c>
      <c r="C44" s="15" t="s">
        <v>184</v>
      </c>
      <c r="D44" s="15">
        <v>3</v>
      </c>
      <c r="E44" s="15" t="s">
        <v>184</v>
      </c>
      <c r="F44" s="14">
        <v>1</v>
      </c>
      <c r="G44" s="33" t="s">
        <v>459</v>
      </c>
      <c r="H44" s="5" t="s">
        <v>194</v>
      </c>
      <c r="I44" s="6" t="s">
        <v>197</v>
      </c>
      <c r="J44" s="7">
        <v>42186</v>
      </c>
      <c r="K44" s="7">
        <v>42186</v>
      </c>
      <c r="L44" s="7">
        <v>43282</v>
      </c>
      <c r="M44" s="4">
        <f ca="1">TODAY()</f>
        <v>42886</v>
      </c>
      <c r="N44" s="8">
        <f ca="1">INT((L44-M44)/30)</f>
        <v>13</v>
      </c>
      <c r="O44" s="19" t="s">
        <v>164</v>
      </c>
      <c r="P44" s="35"/>
    </row>
    <row r="45" spans="2:16" s="21" customFormat="1" ht="19.5" x14ac:dyDescent="0.3">
      <c r="B45" s="16">
        <v>10</v>
      </c>
      <c r="C45" s="15" t="s">
        <v>184</v>
      </c>
      <c r="D45" s="15">
        <v>4</v>
      </c>
      <c r="E45" s="15" t="s">
        <v>184</v>
      </c>
      <c r="F45" s="14">
        <v>1</v>
      </c>
      <c r="G45" s="33" t="s">
        <v>460</v>
      </c>
      <c r="H45" s="5" t="s">
        <v>191</v>
      </c>
      <c r="I45" s="6" t="s">
        <v>197</v>
      </c>
      <c r="J45" s="7">
        <v>42186</v>
      </c>
      <c r="K45" s="7">
        <v>42186</v>
      </c>
      <c r="L45" s="7">
        <v>43282</v>
      </c>
      <c r="M45" s="4">
        <f ca="1">TODAY()</f>
        <v>42886</v>
      </c>
      <c r="N45" s="8">
        <f ca="1">INT((L45-M45)/30)</f>
        <v>13</v>
      </c>
      <c r="O45" s="19" t="s">
        <v>164</v>
      </c>
      <c r="P45" s="35"/>
    </row>
    <row r="46" spans="2:16" s="21" customFormat="1" ht="19.5" x14ac:dyDescent="0.3">
      <c r="B46" s="16">
        <v>10</v>
      </c>
      <c r="C46" s="15" t="s">
        <v>184</v>
      </c>
      <c r="D46" s="15">
        <v>4</v>
      </c>
      <c r="E46" s="15" t="s">
        <v>184</v>
      </c>
      <c r="F46" s="14">
        <v>3</v>
      </c>
      <c r="G46" s="33" t="s">
        <v>461</v>
      </c>
      <c r="H46" s="5" t="s">
        <v>193</v>
      </c>
      <c r="I46" s="6" t="s">
        <v>197</v>
      </c>
      <c r="J46" s="7">
        <v>42186</v>
      </c>
      <c r="K46" s="7">
        <v>42186</v>
      </c>
      <c r="L46" s="7">
        <v>43282</v>
      </c>
      <c r="M46" s="4">
        <f ca="1">TODAY()</f>
        <v>42886</v>
      </c>
      <c r="N46" s="8">
        <f ca="1">INT((L46-M46)/30)</f>
        <v>13</v>
      </c>
      <c r="O46" s="19" t="s">
        <v>164</v>
      </c>
      <c r="P46" s="35"/>
    </row>
    <row r="47" spans="2:16" s="21" customFormat="1" ht="19.5" x14ac:dyDescent="0.3">
      <c r="B47" s="16">
        <v>10</v>
      </c>
      <c r="C47" s="15" t="s">
        <v>184</v>
      </c>
      <c r="D47" s="15">
        <v>4</v>
      </c>
      <c r="E47" s="15" t="s">
        <v>184</v>
      </c>
      <c r="F47" s="14">
        <v>4</v>
      </c>
      <c r="G47" s="33" t="s">
        <v>462</v>
      </c>
      <c r="H47" s="5" t="s">
        <v>195</v>
      </c>
      <c r="I47" s="6" t="s">
        <v>197</v>
      </c>
      <c r="J47" s="7">
        <v>42186</v>
      </c>
      <c r="K47" s="7">
        <v>42186</v>
      </c>
      <c r="L47" s="7">
        <v>43282</v>
      </c>
      <c r="M47" s="4">
        <f ca="1">TODAY()</f>
        <v>42886</v>
      </c>
      <c r="N47" s="8">
        <f ca="1">INT((L47-M47)/30)</f>
        <v>13</v>
      </c>
      <c r="O47" s="19" t="s">
        <v>164</v>
      </c>
      <c r="P47" s="35"/>
    </row>
    <row r="48" spans="2:16" s="61" customFormat="1" ht="20.25" customHeight="1" thickBot="1" x14ac:dyDescent="0.35">
      <c r="B48" s="13" t="s">
        <v>215</v>
      </c>
      <c r="C48" s="39"/>
      <c r="D48" s="39"/>
      <c r="E48" s="39"/>
      <c r="F48" s="40"/>
      <c r="G48" s="40"/>
      <c r="H48" s="41"/>
      <c r="I48" s="41"/>
      <c r="J48" s="41"/>
      <c r="K48" s="41"/>
      <c r="L48" s="41"/>
      <c r="M48" s="41"/>
      <c r="N48" s="41"/>
      <c r="O48" s="41"/>
      <c r="P48" s="42"/>
    </row>
    <row r="49" spans="2:16" s="21" customFormat="1" x14ac:dyDescent="0.3">
      <c r="B49" s="11"/>
      <c r="C49" s="11"/>
      <c r="D49" s="11"/>
      <c r="E49" s="11"/>
      <c r="F49" s="11"/>
      <c r="I49" s="62"/>
      <c r="J49" s="63"/>
      <c r="K49" s="63"/>
      <c r="L49" s="63"/>
      <c r="M49" s="64"/>
      <c r="N49" s="20"/>
      <c r="O49" s="20"/>
    </row>
    <row r="50" spans="2:16" s="21" customFormat="1" x14ac:dyDescent="0.3">
      <c r="B50" s="11"/>
      <c r="C50" s="11"/>
      <c r="D50" s="11"/>
      <c r="E50" s="11"/>
      <c r="F50" s="11"/>
      <c r="I50" s="62"/>
      <c r="J50" s="63"/>
      <c r="K50" s="63"/>
      <c r="L50" s="63"/>
      <c r="M50" s="65"/>
      <c r="N50" s="20"/>
      <c r="O50" s="20"/>
    </row>
    <row r="51" spans="2:16" s="21" customFormat="1" ht="31.5" x14ac:dyDescent="0.4">
      <c r="B51" s="11"/>
      <c r="C51" s="11"/>
      <c r="D51" s="11"/>
      <c r="E51" s="11"/>
      <c r="F51" s="11"/>
      <c r="G51" s="88" t="s">
        <v>428</v>
      </c>
      <c r="H51" s="88"/>
      <c r="I51" s="88"/>
      <c r="J51" s="88"/>
      <c r="K51" s="88"/>
      <c r="L51" s="88"/>
      <c r="M51" s="88"/>
      <c r="N51" s="88"/>
      <c r="O51" s="20"/>
    </row>
    <row r="52" spans="2:16" s="21" customFormat="1" ht="19.5" x14ac:dyDescent="0.3">
      <c r="B52" s="16">
        <v>3</v>
      </c>
      <c r="C52" s="15" t="s">
        <v>177</v>
      </c>
      <c r="D52" s="15">
        <v>1</v>
      </c>
      <c r="E52" s="15" t="s">
        <v>177</v>
      </c>
      <c r="F52" s="14">
        <v>1</v>
      </c>
      <c r="G52" s="33" t="s">
        <v>508</v>
      </c>
      <c r="H52" s="5" t="s">
        <v>248</v>
      </c>
      <c r="I52" s="6" t="s">
        <v>185</v>
      </c>
      <c r="J52" s="7">
        <v>39661</v>
      </c>
      <c r="K52" s="7">
        <v>40350</v>
      </c>
      <c r="L52" s="7">
        <v>42552</v>
      </c>
      <c r="M52" s="4">
        <f ca="1">TODAY()</f>
        <v>42886</v>
      </c>
      <c r="N52" s="12">
        <f ca="1">INT((L52-M52)/30)</f>
        <v>-12</v>
      </c>
      <c r="O52" s="19" t="s">
        <v>165</v>
      </c>
      <c r="P52" s="35" t="s">
        <v>419</v>
      </c>
    </row>
    <row r="53" spans="2:16" s="21" customFormat="1" ht="19.5" x14ac:dyDescent="0.3">
      <c r="B53" s="16">
        <v>3</v>
      </c>
      <c r="C53" s="15" t="s">
        <v>177</v>
      </c>
      <c r="D53" s="15">
        <v>1</v>
      </c>
      <c r="E53" s="15" t="s">
        <v>177</v>
      </c>
      <c r="F53" s="14">
        <v>1</v>
      </c>
      <c r="G53" s="33" t="s">
        <v>508</v>
      </c>
      <c r="H53" s="5" t="s">
        <v>249</v>
      </c>
      <c r="I53" s="6" t="s">
        <v>185</v>
      </c>
      <c r="J53" s="7">
        <v>39661</v>
      </c>
      <c r="K53" s="7">
        <v>40350</v>
      </c>
      <c r="L53" s="7">
        <v>42552</v>
      </c>
      <c r="M53" s="4">
        <f ca="1">TODAY()</f>
        <v>42886</v>
      </c>
      <c r="N53" s="12">
        <f ca="1">INT((L53-M53)/30)</f>
        <v>-12</v>
      </c>
      <c r="O53" s="19" t="s">
        <v>165</v>
      </c>
      <c r="P53" s="35" t="s">
        <v>511</v>
      </c>
    </row>
    <row r="54" spans="2:16" s="21" customFormat="1" ht="19.5" x14ac:dyDescent="0.3">
      <c r="B54" s="16">
        <v>3</v>
      </c>
      <c r="C54" s="15" t="s">
        <v>177</v>
      </c>
      <c r="D54" s="15">
        <v>1</v>
      </c>
      <c r="E54" s="15" t="s">
        <v>177</v>
      </c>
      <c r="F54" s="14">
        <v>1</v>
      </c>
      <c r="G54" s="33" t="s">
        <v>508</v>
      </c>
      <c r="H54" s="5" t="s">
        <v>250</v>
      </c>
      <c r="I54" s="6" t="s">
        <v>185</v>
      </c>
      <c r="J54" s="7">
        <v>39661</v>
      </c>
      <c r="K54" s="7">
        <v>40350</v>
      </c>
      <c r="L54" s="7">
        <v>42552</v>
      </c>
      <c r="M54" s="4">
        <f ca="1">TODAY()</f>
        <v>42886</v>
      </c>
      <c r="N54" s="12">
        <f ca="1">INT((L54-M54)/30)</f>
        <v>-12</v>
      </c>
      <c r="O54" s="19" t="s">
        <v>165</v>
      </c>
      <c r="P54" s="35" t="s">
        <v>511</v>
      </c>
    </row>
    <row r="55" spans="2:16" s="21" customFormat="1" ht="19.5" x14ac:dyDescent="0.3">
      <c r="B55" s="16">
        <v>3</v>
      </c>
      <c r="C55" s="15" t="s">
        <v>177</v>
      </c>
      <c r="D55" s="15">
        <v>1</v>
      </c>
      <c r="E55" s="15" t="s">
        <v>177</v>
      </c>
      <c r="F55" s="14">
        <v>1</v>
      </c>
      <c r="G55" s="33" t="s">
        <v>508</v>
      </c>
      <c r="H55" s="5" t="s">
        <v>251</v>
      </c>
      <c r="I55" s="6" t="s">
        <v>185</v>
      </c>
      <c r="J55" s="7">
        <v>39661</v>
      </c>
      <c r="K55" s="7">
        <v>40350</v>
      </c>
      <c r="L55" s="7">
        <v>42552</v>
      </c>
      <c r="M55" s="4">
        <f ca="1">TODAY()</f>
        <v>42886</v>
      </c>
      <c r="N55" s="12">
        <f ca="1">INT((L55-M55)/30)</f>
        <v>-12</v>
      </c>
      <c r="O55" s="19" t="s">
        <v>165</v>
      </c>
      <c r="P55" s="35" t="s">
        <v>511</v>
      </c>
    </row>
    <row r="56" spans="2:16" s="21" customFormat="1" ht="19.5" x14ac:dyDescent="0.3">
      <c r="B56" s="16">
        <v>3</v>
      </c>
      <c r="C56" s="15" t="s">
        <v>177</v>
      </c>
      <c r="D56" s="15">
        <v>1</v>
      </c>
      <c r="E56" s="15" t="s">
        <v>177</v>
      </c>
      <c r="F56" s="14">
        <v>1</v>
      </c>
      <c r="G56" s="33" t="s">
        <v>508</v>
      </c>
      <c r="H56" s="5" t="s">
        <v>252</v>
      </c>
      <c r="I56" s="6" t="s">
        <v>185</v>
      </c>
      <c r="J56" s="7">
        <v>39661</v>
      </c>
      <c r="K56" s="7">
        <v>40350</v>
      </c>
      <c r="L56" s="7">
        <v>42552</v>
      </c>
      <c r="M56" s="4">
        <f ca="1">TODAY()</f>
        <v>42886</v>
      </c>
      <c r="N56" s="12">
        <f ca="1">INT((L56-M56)/30)</f>
        <v>-12</v>
      </c>
      <c r="O56" s="19" t="s">
        <v>165</v>
      </c>
      <c r="P56" s="35" t="s">
        <v>511</v>
      </c>
    </row>
    <row r="57" spans="2:16" s="21" customFormat="1" ht="19.5" x14ac:dyDescent="0.3">
      <c r="B57" s="16">
        <v>3</v>
      </c>
      <c r="C57" s="15" t="s">
        <v>177</v>
      </c>
      <c r="D57" s="15">
        <v>1</v>
      </c>
      <c r="E57" s="15" t="s">
        <v>177</v>
      </c>
      <c r="F57" s="14">
        <v>1</v>
      </c>
      <c r="G57" s="33" t="s">
        <v>508</v>
      </c>
      <c r="H57" s="5" t="s">
        <v>253</v>
      </c>
      <c r="I57" s="6" t="s">
        <v>185</v>
      </c>
      <c r="J57" s="7">
        <v>39661</v>
      </c>
      <c r="K57" s="7">
        <v>40350</v>
      </c>
      <c r="L57" s="7">
        <v>42552</v>
      </c>
      <c r="M57" s="4">
        <f ca="1">TODAY()</f>
        <v>42886</v>
      </c>
      <c r="N57" s="12">
        <f ca="1">INT((L57-M57)/30)</f>
        <v>-12</v>
      </c>
      <c r="O57" s="19" t="s">
        <v>165</v>
      </c>
      <c r="P57" s="35" t="s">
        <v>501</v>
      </c>
    </row>
    <row r="58" spans="2:16" s="21" customFormat="1" ht="19.5" x14ac:dyDescent="0.3">
      <c r="B58" s="16">
        <v>3</v>
      </c>
      <c r="C58" s="15" t="s">
        <v>177</v>
      </c>
      <c r="D58" s="15">
        <v>1</v>
      </c>
      <c r="E58" s="15" t="s">
        <v>177</v>
      </c>
      <c r="F58" s="14">
        <v>1</v>
      </c>
      <c r="G58" s="33" t="s">
        <v>508</v>
      </c>
      <c r="H58" s="5" t="s">
        <v>254</v>
      </c>
      <c r="I58" s="6" t="s">
        <v>185</v>
      </c>
      <c r="J58" s="7">
        <v>39661</v>
      </c>
      <c r="K58" s="7">
        <v>40350</v>
      </c>
      <c r="L58" s="7">
        <v>42552</v>
      </c>
      <c r="M58" s="4">
        <f ca="1">TODAY()</f>
        <v>42886</v>
      </c>
      <c r="N58" s="12">
        <f ca="1">INT((L58-M58)/30)</f>
        <v>-12</v>
      </c>
      <c r="O58" s="19" t="s">
        <v>165</v>
      </c>
      <c r="P58" s="35" t="s">
        <v>501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20">
      <sortCondition ref="N2:N3"/>
    </sortState>
  </autoFilter>
  <sortState ref="B4:P47">
    <sortCondition ref="B2"/>
    <sortCondition ref="D2"/>
    <sortCondition ref="F2"/>
  </sortState>
  <mergeCells count="12">
    <mergeCell ref="G51:N51"/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49:P51 P1 P4:P47 P59:P1048576">
    <cfRule type="colorScale" priority="15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2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3">
    <cfRule type="colorScale" priority="6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4">
    <cfRule type="colorScale" priority="5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5">
    <cfRule type="colorScale" priority="4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6">
    <cfRule type="colorScale" priority="3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7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58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:O47 O49:O1048576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B1:R89"/>
  <sheetViews>
    <sheetView tabSelected="1" zoomScale="85" zoomScaleNormal="85" workbookViewId="0">
      <pane ySplit="3" topLeftCell="A4" activePane="bottomLeft" state="frozenSplit"/>
      <selection pane="bottomLeft" activeCell="R11" sqref="R11"/>
    </sheetView>
  </sheetViews>
  <sheetFormatPr defaultRowHeight="18.75" x14ac:dyDescent="0.3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20.75" style="43" customWidth="1"/>
    <col min="10" max="12" width="13.625" style="44" customWidth="1"/>
    <col min="13" max="13" width="13.625" style="46" customWidth="1"/>
    <col min="14" max="15" width="13.625" style="45" customWidth="1"/>
    <col min="16" max="16" width="32.125" style="22" customWidth="1"/>
    <col min="17" max="17" width="18.125" style="22" customWidth="1"/>
    <col min="18" max="16384" width="9" style="22"/>
  </cols>
  <sheetData>
    <row r="1" spans="2:18" ht="36" customHeight="1" thickBot="1" x14ac:dyDescent="0.45">
      <c r="B1" s="11"/>
      <c r="C1" s="11"/>
      <c r="D1" s="11"/>
      <c r="E1" s="11"/>
      <c r="F1" s="11"/>
      <c r="G1" s="77" t="s">
        <v>420</v>
      </c>
      <c r="H1" s="77"/>
      <c r="I1" s="77"/>
      <c r="J1" s="77"/>
      <c r="K1" s="77"/>
      <c r="L1" s="77"/>
      <c r="M1" s="77"/>
      <c r="N1" s="77"/>
      <c r="O1" s="20"/>
      <c r="P1" s="21"/>
    </row>
    <row r="2" spans="2:18" ht="20.25" x14ac:dyDescent="0.3">
      <c r="B2" s="67" t="s">
        <v>331</v>
      </c>
      <c r="C2" s="68"/>
      <c r="D2" s="68"/>
      <c r="E2" s="68"/>
      <c r="F2" s="69"/>
      <c r="G2" s="78" t="s">
        <v>332</v>
      </c>
      <c r="H2" s="84" t="s">
        <v>333</v>
      </c>
      <c r="I2" s="86" t="s">
        <v>334</v>
      </c>
      <c r="J2" s="80" t="s">
        <v>335</v>
      </c>
      <c r="K2" s="84" t="s">
        <v>336</v>
      </c>
      <c r="L2" s="84"/>
      <c r="M2" s="80" t="s">
        <v>337</v>
      </c>
      <c r="N2" s="82" t="s">
        <v>338</v>
      </c>
      <c r="O2" s="75" t="s">
        <v>163</v>
      </c>
      <c r="P2" s="73" t="s">
        <v>339</v>
      </c>
      <c r="Q2" s="23" t="s">
        <v>166</v>
      </c>
    </row>
    <row r="3" spans="2:18" s="25" customFormat="1" ht="20.25" x14ac:dyDescent="0.3">
      <c r="B3" s="70"/>
      <c r="C3" s="71"/>
      <c r="D3" s="71"/>
      <c r="E3" s="71"/>
      <c r="F3" s="72"/>
      <c r="G3" s="79"/>
      <c r="H3" s="85"/>
      <c r="I3" s="87"/>
      <c r="J3" s="81"/>
      <c r="K3" s="56" t="s">
        <v>212</v>
      </c>
      <c r="L3" s="56" t="s">
        <v>213</v>
      </c>
      <c r="M3" s="81"/>
      <c r="N3" s="83"/>
      <c r="O3" s="76"/>
      <c r="P3" s="74"/>
      <c r="Q3" s="24" t="s">
        <v>167</v>
      </c>
    </row>
    <row r="4" spans="2:18" s="21" customFormat="1" ht="19.5" x14ac:dyDescent="0.3">
      <c r="B4" s="16">
        <v>1</v>
      </c>
      <c r="C4" s="15" t="s">
        <v>394</v>
      </c>
      <c r="D4" s="15">
        <v>1</v>
      </c>
      <c r="E4" s="15" t="s">
        <v>394</v>
      </c>
      <c r="F4" s="14">
        <v>1</v>
      </c>
      <c r="G4" s="18" t="s">
        <v>395</v>
      </c>
      <c r="H4" s="2" t="s">
        <v>323</v>
      </c>
      <c r="I4" s="3" t="s">
        <v>286</v>
      </c>
      <c r="J4" s="4">
        <v>39867</v>
      </c>
      <c r="K4" s="4">
        <v>39867</v>
      </c>
      <c r="L4" s="4">
        <v>40962</v>
      </c>
      <c r="M4" s="4">
        <f t="shared" ref="M4" ca="1" si="0">TODAY()</f>
        <v>42886</v>
      </c>
      <c r="N4" s="12">
        <f t="shared" ref="N4" ca="1" si="1">INT((L4-M4)/30)</f>
        <v>-65</v>
      </c>
      <c r="O4" s="19" t="s">
        <v>164</v>
      </c>
      <c r="P4" s="26"/>
      <c r="R4" s="60" t="s">
        <v>241</v>
      </c>
    </row>
    <row r="5" spans="2:18" s="21" customFormat="1" ht="19.5" x14ac:dyDescent="0.3">
      <c r="B5" s="36">
        <v>1</v>
      </c>
      <c r="C5" s="37" t="s">
        <v>394</v>
      </c>
      <c r="D5" s="37">
        <v>1</v>
      </c>
      <c r="E5" s="37" t="s">
        <v>394</v>
      </c>
      <c r="F5" s="38">
        <v>2</v>
      </c>
      <c r="G5" s="27" t="s">
        <v>464</v>
      </c>
      <c r="H5" s="5" t="s">
        <v>287</v>
      </c>
      <c r="I5" s="3" t="s">
        <v>289</v>
      </c>
      <c r="J5" s="4">
        <v>41974</v>
      </c>
      <c r="K5" s="4">
        <v>41974</v>
      </c>
      <c r="L5" s="4">
        <v>43070</v>
      </c>
      <c r="M5" s="4">
        <f ca="1">TODAY()</f>
        <v>42886</v>
      </c>
      <c r="N5" s="9">
        <f ca="1">INT((L5-M5)/30)</f>
        <v>6</v>
      </c>
      <c r="O5" s="19" t="s">
        <v>164</v>
      </c>
      <c r="P5" s="35"/>
      <c r="R5" s="60" t="s">
        <v>217</v>
      </c>
    </row>
    <row r="6" spans="2:18" s="21" customFormat="1" ht="19.5" x14ac:dyDescent="0.3">
      <c r="B6" s="36">
        <v>1</v>
      </c>
      <c r="C6" s="37" t="s">
        <v>394</v>
      </c>
      <c r="D6" s="37">
        <v>1</v>
      </c>
      <c r="E6" s="37" t="s">
        <v>394</v>
      </c>
      <c r="F6" s="38">
        <v>3</v>
      </c>
      <c r="G6" s="33" t="s">
        <v>512</v>
      </c>
      <c r="H6" s="5" t="s">
        <v>290</v>
      </c>
      <c r="I6" s="3" t="s">
        <v>291</v>
      </c>
      <c r="J6" s="4">
        <v>41852</v>
      </c>
      <c r="K6" s="4">
        <v>41852</v>
      </c>
      <c r="L6" s="4">
        <v>42948</v>
      </c>
      <c r="M6" s="4">
        <f ca="1">TODAY()</f>
        <v>42886</v>
      </c>
      <c r="N6" s="9">
        <f ca="1">INT((L6-M6)/30)</f>
        <v>2</v>
      </c>
      <c r="O6" s="19" t="s">
        <v>164</v>
      </c>
      <c r="P6" s="35"/>
      <c r="R6" s="60" t="s">
        <v>218</v>
      </c>
    </row>
    <row r="7" spans="2:18" s="21" customFormat="1" ht="19.5" x14ac:dyDescent="0.3">
      <c r="B7" s="36">
        <v>1</v>
      </c>
      <c r="C7" s="37" t="s">
        <v>394</v>
      </c>
      <c r="D7" s="37">
        <v>2</v>
      </c>
      <c r="E7" s="37" t="s">
        <v>394</v>
      </c>
      <c r="F7" s="38">
        <v>1</v>
      </c>
      <c r="G7" s="17" t="s">
        <v>396</v>
      </c>
      <c r="H7" s="5" t="s">
        <v>292</v>
      </c>
      <c r="I7" s="3" t="s">
        <v>293</v>
      </c>
      <c r="J7" s="4">
        <v>41852</v>
      </c>
      <c r="K7" s="4">
        <v>41852</v>
      </c>
      <c r="L7" s="4">
        <v>42948</v>
      </c>
      <c r="M7" s="4">
        <f ca="1">TODAY()</f>
        <v>42886</v>
      </c>
      <c r="N7" s="9">
        <f ca="1">INT((L7-M7)/30)</f>
        <v>2</v>
      </c>
      <c r="O7" s="19" t="s">
        <v>164</v>
      </c>
      <c r="P7" s="35"/>
      <c r="R7" s="60" t="s">
        <v>219</v>
      </c>
    </row>
    <row r="8" spans="2:18" s="21" customFormat="1" ht="19.5" x14ac:dyDescent="0.3">
      <c r="B8" s="36">
        <v>1</v>
      </c>
      <c r="C8" s="37" t="s">
        <v>394</v>
      </c>
      <c r="D8" s="37">
        <v>2</v>
      </c>
      <c r="E8" s="37" t="s">
        <v>394</v>
      </c>
      <c r="F8" s="38">
        <v>2</v>
      </c>
      <c r="G8" s="33" t="s">
        <v>513</v>
      </c>
      <c r="H8" s="5" t="s">
        <v>288</v>
      </c>
      <c r="I8" s="3" t="s">
        <v>289</v>
      </c>
      <c r="J8" s="4">
        <v>41974</v>
      </c>
      <c r="K8" s="4">
        <v>41974</v>
      </c>
      <c r="L8" s="4">
        <v>43070</v>
      </c>
      <c r="M8" s="4">
        <f ca="1">TODAY()</f>
        <v>42886</v>
      </c>
      <c r="N8" s="9">
        <f ca="1">INT((L8-M8)/30)</f>
        <v>6</v>
      </c>
      <c r="O8" s="19" t="s">
        <v>164</v>
      </c>
      <c r="P8" s="35"/>
      <c r="R8" s="60" t="s">
        <v>220</v>
      </c>
    </row>
    <row r="9" spans="2:18" s="21" customFormat="1" ht="19.5" x14ac:dyDescent="0.3">
      <c r="B9" s="36">
        <v>1</v>
      </c>
      <c r="C9" s="37" t="s">
        <v>394</v>
      </c>
      <c r="D9" s="37">
        <v>3</v>
      </c>
      <c r="E9" s="37" t="s">
        <v>394</v>
      </c>
      <c r="F9" s="38">
        <v>1</v>
      </c>
      <c r="G9" s="17" t="s">
        <v>397</v>
      </c>
      <c r="H9" s="5" t="s">
        <v>324</v>
      </c>
      <c r="I9" s="6" t="s">
        <v>286</v>
      </c>
      <c r="J9" s="7">
        <v>39867</v>
      </c>
      <c r="K9" s="7">
        <v>39867</v>
      </c>
      <c r="L9" s="7">
        <v>40962</v>
      </c>
      <c r="M9" s="4">
        <f ca="1">TODAY()</f>
        <v>42886</v>
      </c>
      <c r="N9" s="12">
        <f ca="1">INT((L9-M9)/30)</f>
        <v>-65</v>
      </c>
      <c r="O9" s="19" t="s">
        <v>164</v>
      </c>
      <c r="P9" s="35"/>
      <c r="R9" s="60" t="s">
        <v>221</v>
      </c>
    </row>
    <row r="10" spans="2:18" s="21" customFormat="1" ht="19.5" x14ac:dyDescent="0.3">
      <c r="B10" s="36">
        <v>1</v>
      </c>
      <c r="C10" s="37" t="s">
        <v>394</v>
      </c>
      <c r="D10" s="37">
        <v>3</v>
      </c>
      <c r="E10" s="37" t="s">
        <v>394</v>
      </c>
      <c r="F10" s="38">
        <v>2</v>
      </c>
      <c r="G10" s="33" t="s">
        <v>468</v>
      </c>
      <c r="H10" s="5" t="s">
        <v>294</v>
      </c>
      <c r="I10" s="6" t="s">
        <v>295</v>
      </c>
      <c r="J10" s="7">
        <v>41974</v>
      </c>
      <c r="K10" s="7">
        <v>41974</v>
      </c>
      <c r="L10" s="7">
        <v>43070</v>
      </c>
      <c r="M10" s="4">
        <f ca="1">TODAY()</f>
        <v>42886</v>
      </c>
      <c r="N10" s="9">
        <f ca="1">INT((L10-M10)/30)</f>
        <v>6</v>
      </c>
      <c r="O10" s="19" t="s">
        <v>164</v>
      </c>
      <c r="P10" s="35"/>
      <c r="R10" s="60" t="s">
        <v>416</v>
      </c>
    </row>
    <row r="11" spans="2:18" s="21" customFormat="1" ht="19.5" x14ac:dyDescent="0.3">
      <c r="B11" s="36">
        <v>1</v>
      </c>
      <c r="C11" s="37" t="s">
        <v>394</v>
      </c>
      <c r="D11" s="37">
        <v>3</v>
      </c>
      <c r="E11" s="37" t="s">
        <v>394</v>
      </c>
      <c r="F11" s="38">
        <v>3</v>
      </c>
      <c r="G11" s="33" t="s">
        <v>514</v>
      </c>
      <c r="H11" s="5" t="s">
        <v>296</v>
      </c>
      <c r="I11" s="6" t="s">
        <v>298</v>
      </c>
      <c r="J11" s="7">
        <v>41382</v>
      </c>
      <c r="K11" s="7">
        <v>41382</v>
      </c>
      <c r="L11" s="7">
        <v>41841</v>
      </c>
      <c r="M11" s="4">
        <f ca="1">TODAY()</f>
        <v>42886</v>
      </c>
      <c r="N11" s="12">
        <f ca="1">INT((L11-M11)/30)</f>
        <v>-35</v>
      </c>
      <c r="O11" s="19" t="s">
        <v>164</v>
      </c>
      <c r="P11" s="35"/>
      <c r="R11" s="60" t="s">
        <v>463</v>
      </c>
    </row>
    <row r="12" spans="2:18" s="21" customFormat="1" ht="19.5" x14ac:dyDescent="0.3">
      <c r="B12" s="36">
        <v>1</v>
      </c>
      <c r="C12" s="37" t="s">
        <v>394</v>
      </c>
      <c r="D12" s="37">
        <v>3</v>
      </c>
      <c r="E12" s="37" t="s">
        <v>394</v>
      </c>
      <c r="F12" s="38">
        <v>3</v>
      </c>
      <c r="G12" s="33" t="s">
        <v>514</v>
      </c>
      <c r="H12" s="5" t="s">
        <v>297</v>
      </c>
      <c r="I12" s="6" t="s">
        <v>298</v>
      </c>
      <c r="J12" s="7">
        <v>41382</v>
      </c>
      <c r="K12" s="7">
        <v>41382</v>
      </c>
      <c r="L12" s="7">
        <v>41841</v>
      </c>
      <c r="M12" s="4">
        <f ca="1">TODAY()</f>
        <v>42886</v>
      </c>
      <c r="N12" s="12">
        <f ca="1">INT((L12-M12)/30)</f>
        <v>-35</v>
      </c>
      <c r="O12" s="19" t="s">
        <v>164</v>
      </c>
      <c r="P12" s="35"/>
      <c r="R12" s="60" t="s">
        <v>411</v>
      </c>
    </row>
    <row r="13" spans="2:18" s="21" customFormat="1" ht="19.5" x14ac:dyDescent="0.3">
      <c r="B13" s="36">
        <v>1</v>
      </c>
      <c r="C13" s="37" t="s">
        <v>394</v>
      </c>
      <c r="D13" s="37">
        <v>4</v>
      </c>
      <c r="E13" s="37" t="s">
        <v>394</v>
      </c>
      <c r="F13" s="38">
        <v>1</v>
      </c>
      <c r="G13" s="17" t="s">
        <v>401</v>
      </c>
      <c r="H13" s="5" t="s">
        <v>299</v>
      </c>
      <c r="I13" s="6" t="s">
        <v>301</v>
      </c>
      <c r="J13" s="7">
        <v>41974</v>
      </c>
      <c r="K13" s="7">
        <v>41974</v>
      </c>
      <c r="L13" s="7">
        <v>43070</v>
      </c>
      <c r="M13" s="4">
        <f ca="1">TODAY()</f>
        <v>42886</v>
      </c>
      <c r="N13" s="9">
        <f ca="1">INT((L13-M13)/30)</f>
        <v>6</v>
      </c>
      <c r="O13" s="19" t="s">
        <v>164</v>
      </c>
      <c r="P13" s="35"/>
      <c r="R13" s="60" t="s">
        <v>223</v>
      </c>
    </row>
    <row r="14" spans="2:18" s="21" customFormat="1" ht="19.5" x14ac:dyDescent="0.3">
      <c r="B14" s="36">
        <v>1</v>
      </c>
      <c r="C14" s="37" t="s">
        <v>394</v>
      </c>
      <c r="D14" s="37">
        <v>4</v>
      </c>
      <c r="E14" s="37" t="s">
        <v>394</v>
      </c>
      <c r="F14" s="38">
        <v>3</v>
      </c>
      <c r="G14" s="33" t="s">
        <v>515</v>
      </c>
      <c r="H14" s="5" t="s">
        <v>300</v>
      </c>
      <c r="I14" s="6" t="s">
        <v>301</v>
      </c>
      <c r="J14" s="7">
        <v>41974</v>
      </c>
      <c r="K14" s="7">
        <v>41974</v>
      </c>
      <c r="L14" s="7">
        <v>43070</v>
      </c>
      <c r="M14" s="4">
        <f ca="1">TODAY()</f>
        <v>42886</v>
      </c>
      <c r="N14" s="9">
        <f ca="1">INT((L14-M14)/30)</f>
        <v>6</v>
      </c>
      <c r="O14" s="19" t="s">
        <v>164</v>
      </c>
      <c r="P14" s="35"/>
      <c r="R14" s="60" t="s">
        <v>224</v>
      </c>
    </row>
    <row r="15" spans="2:18" s="21" customFormat="1" ht="19.5" x14ac:dyDescent="0.3">
      <c r="B15" s="36">
        <v>1</v>
      </c>
      <c r="C15" s="37" t="s">
        <v>394</v>
      </c>
      <c r="D15" s="37">
        <v>5</v>
      </c>
      <c r="E15" s="37" t="s">
        <v>394</v>
      </c>
      <c r="F15" s="38">
        <v>1</v>
      </c>
      <c r="G15" s="33" t="s">
        <v>516</v>
      </c>
      <c r="H15" s="5" t="s">
        <v>302</v>
      </c>
      <c r="I15" s="6" t="s">
        <v>303</v>
      </c>
      <c r="J15" s="7">
        <v>41671</v>
      </c>
      <c r="K15" s="7">
        <v>41671</v>
      </c>
      <c r="L15" s="7">
        <v>42767</v>
      </c>
      <c r="M15" s="4">
        <f ca="1">TODAY()</f>
        <v>42886</v>
      </c>
      <c r="N15" s="12">
        <f ca="1">INT((L15-M15)/30)</f>
        <v>-4</v>
      </c>
      <c r="O15" s="19" t="s">
        <v>164</v>
      </c>
      <c r="P15" s="35"/>
      <c r="R15" s="60" t="s">
        <v>225</v>
      </c>
    </row>
    <row r="16" spans="2:18" s="21" customFormat="1" ht="19.5" x14ac:dyDescent="0.3">
      <c r="B16" s="36">
        <v>2</v>
      </c>
      <c r="C16" s="37" t="s">
        <v>394</v>
      </c>
      <c r="D16" s="37">
        <v>1</v>
      </c>
      <c r="E16" s="37" t="s">
        <v>394</v>
      </c>
      <c r="F16" s="38">
        <v>1</v>
      </c>
      <c r="G16" s="33" t="s">
        <v>502</v>
      </c>
      <c r="H16" s="5" t="s">
        <v>306</v>
      </c>
      <c r="I16" s="6" t="s">
        <v>309</v>
      </c>
      <c r="J16" s="7">
        <v>40814</v>
      </c>
      <c r="K16" s="7">
        <v>40814</v>
      </c>
      <c r="L16" s="7">
        <v>41910</v>
      </c>
      <c r="M16" s="4">
        <f ca="1">TODAY()</f>
        <v>42886</v>
      </c>
      <c r="N16" s="12">
        <f ca="1">INT((L16-M16)/30)</f>
        <v>-33</v>
      </c>
      <c r="O16" s="19" t="s">
        <v>164</v>
      </c>
      <c r="P16" s="35"/>
    </row>
    <row r="17" spans="2:16" s="21" customFormat="1" ht="19.5" x14ac:dyDescent="0.3">
      <c r="B17" s="36">
        <v>2</v>
      </c>
      <c r="C17" s="37" t="s">
        <v>394</v>
      </c>
      <c r="D17" s="37">
        <v>1</v>
      </c>
      <c r="E17" s="37" t="s">
        <v>394</v>
      </c>
      <c r="F17" s="38">
        <v>1</v>
      </c>
      <c r="G17" s="33" t="s">
        <v>424</v>
      </c>
      <c r="H17" s="5" t="s">
        <v>307</v>
      </c>
      <c r="I17" s="6" t="s">
        <v>309</v>
      </c>
      <c r="J17" s="7">
        <v>40814</v>
      </c>
      <c r="K17" s="7">
        <v>40814</v>
      </c>
      <c r="L17" s="7">
        <v>41910</v>
      </c>
      <c r="M17" s="4">
        <f ca="1">TODAY()</f>
        <v>42886</v>
      </c>
      <c r="N17" s="12">
        <f ca="1">INT((L17-M17)/30)</f>
        <v>-33</v>
      </c>
      <c r="O17" s="19" t="s">
        <v>164</v>
      </c>
      <c r="P17" s="35"/>
    </row>
    <row r="18" spans="2:16" s="21" customFormat="1" ht="19.5" x14ac:dyDescent="0.3">
      <c r="B18" s="36">
        <v>2</v>
      </c>
      <c r="C18" s="37" t="s">
        <v>394</v>
      </c>
      <c r="D18" s="37">
        <v>1</v>
      </c>
      <c r="E18" s="37" t="s">
        <v>394</v>
      </c>
      <c r="F18" s="38">
        <v>1</v>
      </c>
      <c r="G18" s="33" t="s">
        <v>502</v>
      </c>
      <c r="H18" s="5" t="s">
        <v>308</v>
      </c>
      <c r="I18" s="6" t="s">
        <v>309</v>
      </c>
      <c r="J18" s="7">
        <v>40814</v>
      </c>
      <c r="K18" s="7">
        <v>40814</v>
      </c>
      <c r="L18" s="7">
        <v>41910</v>
      </c>
      <c r="M18" s="4">
        <f ca="1">TODAY()</f>
        <v>42886</v>
      </c>
      <c r="N18" s="12">
        <f ca="1">INT((L18-M18)/30)</f>
        <v>-33</v>
      </c>
      <c r="O18" s="19" t="s">
        <v>164</v>
      </c>
      <c r="P18" s="35"/>
    </row>
    <row r="19" spans="2:16" s="21" customFormat="1" ht="19.5" hidden="1" x14ac:dyDescent="0.3">
      <c r="B19" s="36">
        <v>2</v>
      </c>
      <c r="C19" s="37" t="s">
        <v>394</v>
      </c>
      <c r="D19" s="37">
        <v>1</v>
      </c>
      <c r="E19" s="37" t="s">
        <v>394</v>
      </c>
      <c r="F19" s="38">
        <v>2</v>
      </c>
      <c r="G19" s="33" t="s">
        <v>517</v>
      </c>
      <c r="H19" s="5" t="s">
        <v>304</v>
      </c>
      <c r="I19" s="6" t="s">
        <v>305</v>
      </c>
      <c r="J19" s="7">
        <v>39904</v>
      </c>
      <c r="K19" s="7">
        <v>39904</v>
      </c>
      <c r="L19" s="7">
        <v>41000</v>
      </c>
      <c r="M19" s="4">
        <f ca="1">TODAY()</f>
        <v>42886</v>
      </c>
      <c r="N19" s="12">
        <f ca="1">INT((L19-M19)/30)</f>
        <v>-63</v>
      </c>
      <c r="O19" s="19" t="s">
        <v>165</v>
      </c>
      <c r="P19" s="35" t="s">
        <v>501</v>
      </c>
    </row>
    <row r="20" spans="2:16" s="21" customFormat="1" ht="19.5" hidden="1" x14ac:dyDescent="0.3">
      <c r="B20" s="36">
        <v>2</v>
      </c>
      <c r="C20" s="37" t="s">
        <v>394</v>
      </c>
      <c r="D20" s="37">
        <v>1</v>
      </c>
      <c r="E20" s="37" t="s">
        <v>394</v>
      </c>
      <c r="F20" s="38">
        <v>2</v>
      </c>
      <c r="G20" s="33" t="s">
        <v>517</v>
      </c>
      <c r="H20" s="5" t="s">
        <v>357</v>
      </c>
      <c r="I20" s="6" t="s">
        <v>358</v>
      </c>
      <c r="J20" s="7">
        <v>39904</v>
      </c>
      <c r="K20" s="7">
        <v>39904</v>
      </c>
      <c r="L20" s="7">
        <v>41000</v>
      </c>
      <c r="M20" s="4">
        <f ca="1">TODAY()</f>
        <v>42886</v>
      </c>
      <c r="N20" s="12">
        <f ca="1">INT((L20-M20)/30)</f>
        <v>-63</v>
      </c>
      <c r="O20" s="19" t="s">
        <v>165</v>
      </c>
      <c r="P20" s="35" t="s">
        <v>501</v>
      </c>
    </row>
    <row r="21" spans="2:16" s="21" customFormat="1" ht="19.5" x14ac:dyDescent="0.3">
      <c r="B21" s="36">
        <v>2</v>
      </c>
      <c r="C21" s="37" t="s">
        <v>394</v>
      </c>
      <c r="D21" s="37">
        <v>2</v>
      </c>
      <c r="E21" s="37" t="s">
        <v>394</v>
      </c>
      <c r="F21" s="38">
        <v>1</v>
      </c>
      <c r="G21" s="33" t="s">
        <v>503</v>
      </c>
      <c r="H21" s="5" t="s">
        <v>310</v>
      </c>
      <c r="I21" s="6" t="s">
        <v>309</v>
      </c>
      <c r="J21" s="7">
        <v>40814</v>
      </c>
      <c r="K21" s="7">
        <v>40814</v>
      </c>
      <c r="L21" s="7">
        <v>41910</v>
      </c>
      <c r="M21" s="4">
        <f ca="1">TODAY()</f>
        <v>42886</v>
      </c>
      <c r="N21" s="12">
        <f ca="1">INT((L21-M21)/30)</f>
        <v>-33</v>
      </c>
      <c r="O21" s="19" t="s">
        <v>164</v>
      </c>
      <c r="P21" s="35"/>
    </row>
    <row r="22" spans="2:16" s="21" customFormat="1" ht="19.5" x14ac:dyDescent="0.3">
      <c r="B22" s="36">
        <v>2</v>
      </c>
      <c r="C22" s="37" t="s">
        <v>394</v>
      </c>
      <c r="D22" s="37">
        <v>2</v>
      </c>
      <c r="E22" s="37" t="s">
        <v>394</v>
      </c>
      <c r="F22" s="38">
        <v>1</v>
      </c>
      <c r="G22" s="33" t="s">
        <v>503</v>
      </c>
      <c r="H22" s="5" t="s">
        <v>311</v>
      </c>
      <c r="I22" s="6" t="s">
        <v>309</v>
      </c>
      <c r="J22" s="7">
        <v>40814</v>
      </c>
      <c r="K22" s="7">
        <v>40814</v>
      </c>
      <c r="L22" s="7">
        <v>41910</v>
      </c>
      <c r="M22" s="4">
        <f ca="1">TODAY()</f>
        <v>42886</v>
      </c>
      <c r="N22" s="12">
        <f ca="1">INT((L22-M22)/30)</f>
        <v>-33</v>
      </c>
      <c r="O22" s="19" t="s">
        <v>164</v>
      </c>
      <c r="P22" s="35"/>
    </row>
    <row r="23" spans="2:16" s="21" customFormat="1" ht="19.5" x14ac:dyDescent="0.3">
      <c r="B23" s="36">
        <v>2</v>
      </c>
      <c r="C23" s="37" t="s">
        <v>394</v>
      </c>
      <c r="D23" s="37">
        <v>3</v>
      </c>
      <c r="E23" s="37" t="s">
        <v>394</v>
      </c>
      <c r="F23" s="38">
        <v>1</v>
      </c>
      <c r="G23" s="33" t="s">
        <v>518</v>
      </c>
      <c r="H23" s="5" t="s">
        <v>312</v>
      </c>
      <c r="I23" s="6" t="s">
        <v>313</v>
      </c>
      <c r="J23" s="7">
        <v>41640</v>
      </c>
      <c r="K23" s="7">
        <v>41640</v>
      </c>
      <c r="L23" s="7">
        <v>42736</v>
      </c>
      <c r="M23" s="4">
        <f ca="1">TODAY()</f>
        <v>42886</v>
      </c>
      <c r="N23" s="12">
        <f ca="1">INT((L23-M23)/30)</f>
        <v>-5</v>
      </c>
      <c r="O23" s="19" t="s">
        <v>164</v>
      </c>
      <c r="P23" s="35"/>
    </row>
    <row r="24" spans="2:16" s="21" customFormat="1" ht="19.5" x14ac:dyDescent="0.3">
      <c r="B24" s="36">
        <v>2</v>
      </c>
      <c r="C24" s="37" t="s">
        <v>394</v>
      </c>
      <c r="D24" s="37">
        <v>3</v>
      </c>
      <c r="E24" s="37" t="s">
        <v>394</v>
      </c>
      <c r="F24" s="38">
        <v>2</v>
      </c>
      <c r="G24" s="33" t="s">
        <v>481</v>
      </c>
      <c r="H24" s="5" t="s">
        <v>314</v>
      </c>
      <c r="I24" s="6" t="s">
        <v>315</v>
      </c>
      <c r="J24" s="7">
        <v>41974</v>
      </c>
      <c r="K24" s="7">
        <v>41974</v>
      </c>
      <c r="L24" s="7">
        <v>43070</v>
      </c>
      <c r="M24" s="4">
        <f ca="1">TODAY()</f>
        <v>42886</v>
      </c>
      <c r="N24" s="9">
        <f ca="1">INT((L24-M24)/30)</f>
        <v>6</v>
      </c>
      <c r="O24" s="19" t="s">
        <v>164</v>
      </c>
      <c r="P24" s="35"/>
    </row>
    <row r="25" spans="2:16" s="21" customFormat="1" ht="19.5" x14ac:dyDescent="0.3">
      <c r="B25" s="36">
        <v>2</v>
      </c>
      <c r="C25" s="37" t="s">
        <v>394</v>
      </c>
      <c r="D25" s="37">
        <v>3</v>
      </c>
      <c r="E25" s="37" t="s">
        <v>394</v>
      </c>
      <c r="F25" s="38">
        <v>3</v>
      </c>
      <c r="G25" s="33" t="s">
        <v>504</v>
      </c>
      <c r="H25" s="5" t="s">
        <v>316</v>
      </c>
      <c r="I25" s="6" t="s">
        <v>298</v>
      </c>
      <c r="J25" s="7">
        <v>41382</v>
      </c>
      <c r="K25" s="7">
        <v>41382</v>
      </c>
      <c r="L25" s="7">
        <v>41841</v>
      </c>
      <c r="M25" s="4">
        <f ca="1">TODAY()</f>
        <v>42886</v>
      </c>
      <c r="N25" s="12">
        <f ca="1">INT((L25-M25)/30)</f>
        <v>-35</v>
      </c>
      <c r="O25" s="19" t="s">
        <v>164</v>
      </c>
      <c r="P25" s="35"/>
    </row>
    <row r="26" spans="2:16" s="21" customFormat="1" ht="19.5" x14ac:dyDescent="0.3">
      <c r="B26" s="36">
        <v>2</v>
      </c>
      <c r="C26" s="37" t="s">
        <v>394</v>
      </c>
      <c r="D26" s="37">
        <v>3</v>
      </c>
      <c r="E26" s="37" t="s">
        <v>394</v>
      </c>
      <c r="F26" s="38">
        <v>3</v>
      </c>
      <c r="G26" s="33" t="s">
        <v>504</v>
      </c>
      <c r="H26" s="5" t="s">
        <v>317</v>
      </c>
      <c r="I26" s="6" t="s">
        <v>298</v>
      </c>
      <c r="J26" s="7">
        <v>41382</v>
      </c>
      <c r="K26" s="7">
        <v>41382</v>
      </c>
      <c r="L26" s="7">
        <v>41841</v>
      </c>
      <c r="M26" s="4">
        <f ca="1">TODAY()</f>
        <v>42886</v>
      </c>
      <c r="N26" s="12">
        <f ca="1">INT((L26-M26)/30)</f>
        <v>-35</v>
      </c>
      <c r="O26" s="19" t="s">
        <v>164</v>
      </c>
      <c r="P26" s="35"/>
    </row>
    <row r="27" spans="2:16" s="21" customFormat="1" ht="19.5" x14ac:dyDescent="0.3">
      <c r="B27" s="36">
        <v>2</v>
      </c>
      <c r="C27" s="37" t="s">
        <v>394</v>
      </c>
      <c r="D27" s="37">
        <v>4</v>
      </c>
      <c r="E27" s="37" t="s">
        <v>394</v>
      </c>
      <c r="F27" s="38">
        <v>1</v>
      </c>
      <c r="G27" s="17" t="s">
        <v>400</v>
      </c>
      <c r="H27" s="5" t="s">
        <v>325</v>
      </c>
      <c r="I27" s="6" t="s">
        <v>286</v>
      </c>
      <c r="J27" s="7">
        <v>39867</v>
      </c>
      <c r="K27" s="7">
        <v>39867</v>
      </c>
      <c r="L27" s="7">
        <v>40962</v>
      </c>
      <c r="M27" s="4">
        <f ca="1">TODAY()</f>
        <v>42886</v>
      </c>
      <c r="N27" s="12">
        <f ca="1">INT((L27-M27)/30)</f>
        <v>-65</v>
      </c>
      <c r="O27" s="19" t="s">
        <v>164</v>
      </c>
      <c r="P27" s="35"/>
    </row>
    <row r="28" spans="2:16" s="21" customFormat="1" ht="19.5" x14ac:dyDescent="0.3">
      <c r="B28" s="36">
        <v>2</v>
      </c>
      <c r="C28" s="37" t="s">
        <v>394</v>
      </c>
      <c r="D28" s="37">
        <v>4</v>
      </c>
      <c r="E28" s="37" t="s">
        <v>394</v>
      </c>
      <c r="F28" s="38">
        <v>2</v>
      </c>
      <c r="G28" s="33" t="s">
        <v>485</v>
      </c>
      <c r="H28" s="5" t="s">
        <v>318</v>
      </c>
      <c r="I28" s="6" t="s">
        <v>319</v>
      </c>
      <c r="J28" s="7">
        <v>41974</v>
      </c>
      <c r="K28" s="7">
        <v>41974</v>
      </c>
      <c r="L28" s="7">
        <v>43070</v>
      </c>
      <c r="M28" s="4">
        <f ca="1">TODAY()</f>
        <v>42886</v>
      </c>
      <c r="N28" s="9">
        <f ca="1">INT((L28-M28)/30)</f>
        <v>6</v>
      </c>
      <c r="O28" s="19" t="s">
        <v>164</v>
      </c>
      <c r="P28" s="35"/>
    </row>
    <row r="29" spans="2:16" s="21" customFormat="1" ht="19.5" x14ac:dyDescent="0.3">
      <c r="B29" s="36">
        <v>2</v>
      </c>
      <c r="C29" s="37" t="s">
        <v>394</v>
      </c>
      <c r="D29" s="37">
        <v>4</v>
      </c>
      <c r="E29" s="37" t="s">
        <v>394</v>
      </c>
      <c r="F29" s="38">
        <v>3</v>
      </c>
      <c r="G29" s="33" t="s">
        <v>505</v>
      </c>
      <c r="H29" s="5" t="s">
        <v>320</v>
      </c>
      <c r="I29" s="6" t="s">
        <v>298</v>
      </c>
      <c r="J29" s="7">
        <v>41382</v>
      </c>
      <c r="K29" s="7">
        <v>41382</v>
      </c>
      <c r="L29" s="7">
        <v>41841</v>
      </c>
      <c r="M29" s="4">
        <f ca="1">TODAY()</f>
        <v>42886</v>
      </c>
      <c r="N29" s="12">
        <f ca="1">INT((L29-M29)/30)</f>
        <v>-35</v>
      </c>
      <c r="O29" s="19" t="s">
        <v>164</v>
      </c>
      <c r="P29" s="35"/>
    </row>
    <row r="30" spans="2:16" s="21" customFormat="1" ht="19.5" x14ac:dyDescent="0.3">
      <c r="B30" s="36">
        <v>2</v>
      </c>
      <c r="C30" s="37" t="s">
        <v>394</v>
      </c>
      <c r="D30" s="37">
        <v>4</v>
      </c>
      <c r="E30" s="37" t="s">
        <v>394</v>
      </c>
      <c r="F30" s="38">
        <v>3</v>
      </c>
      <c r="G30" s="33" t="s">
        <v>505</v>
      </c>
      <c r="H30" s="5" t="s">
        <v>321</v>
      </c>
      <c r="I30" s="6" t="s">
        <v>298</v>
      </c>
      <c r="J30" s="7">
        <v>41382</v>
      </c>
      <c r="K30" s="7">
        <v>41382</v>
      </c>
      <c r="L30" s="7">
        <v>41841</v>
      </c>
      <c r="M30" s="4">
        <f ca="1">TODAY()</f>
        <v>42886</v>
      </c>
      <c r="N30" s="12">
        <f ca="1">INT((L30-M30)/30)</f>
        <v>-35</v>
      </c>
      <c r="O30" s="19" t="s">
        <v>164</v>
      </c>
      <c r="P30" s="35"/>
    </row>
    <row r="31" spans="2:16" s="21" customFormat="1" ht="19.5" x14ac:dyDescent="0.3">
      <c r="B31" s="36">
        <v>2</v>
      </c>
      <c r="C31" s="37" t="s">
        <v>394</v>
      </c>
      <c r="D31" s="37">
        <v>4</v>
      </c>
      <c r="E31" s="37" t="s">
        <v>394</v>
      </c>
      <c r="F31" s="38">
        <v>3</v>
      </c>
      <c r="G31" s="33" t="s">
        <v>505</v>
      </c>
      <c r="H31" s="5" t="s">
        <v>322</v>
      </c>
      <c r="I31" s="6" t="s">
        <v>298</v>
      </c>
      <c r="J31" s="7">
        <v>41382</v>
      </c>
      <c r="K31" s="7">
        <v>41382</v>
      </c>
      <c r="L31" s="7">
        <v>41841</v>
      </c>
      <c r="M31" s="4">
        <f ca="1">TODAY()</f>
        <v>42886</v>
      </c>
      <c r="N31" s="12">
        <f ca="1">INT((L31-M31)/30)</f>
        <v>-35</v>
      </c>
      <c r="O31" s="19" t="s">
        <v>164</v>
      </c>
      <c r="P31" s="35"/>
    </row>
    <row r="32" spans="2:16" s="21" customFormat="1" ht="19.5" x14ac:dyDescent="0.3">
      <c r="B32" s="36">
        <v>2</v>
      </c>
      <c r="C32" s="37" t="s">
        <v>394</v>
      </c>
      <c r="D32" s="37">
        <v>5</v>
      </c>
      <c r="E32" s="37" t="s">
        <v>394</v>
      </c>
      <c r="F32" s="38">
        <v>1</v>
      </c>
      <c r="G32" s="17" t="s">
        <v>399</v>
      </c>
      <c r="H32" s="5" t="s">
        <v>326</v>
      </c>
      <c r="I32" s="6" t="s">
        <v>286</v>
      </c>
      <c r="J32" s="7">
        <v>39882</v>
      </c>
      <c r="K32" s="7">
        <v>39882</v>
      </c>
      <c r="L32" s="7">
        <v>40978</v>
      </c>
      <c r="M32" s="4">
        <f ca="1">TODAY()</f>
        <v>42886</v>
      </c>
      <c r="N32" s="12">
        <f ca="1">INT((L32-M32)/30)</f>
        <v>-64</v>
      </c>
      <c r="O32" s="19" t="s">
        <v>164</v>
      </c>
      <c r="P32" s="35"/>
    </row>
    <row r="33" spans="2:16" s="21" customFormat="1" ht="19.5" x14ac:dyDescent="0.3">
      <c r="B33" s="36">
        <v>2</v>
      </c>
      <c r="C33" s="37" t="s">
        <v>394</v>
      </c>
      <c r="D33" s="37">
        <v>5</v>
      </c>
      <c r="E33" s="37" t="s">
        <v>394</v>
      </c>
      <c r="F33" s="38">
        <v>2</v>
      </c>
      <c r="G33" s="33" t="s">
        <v>421</v>
      </c>
      <c r="H33" s="5" t="s">
        <v>327</v>
      </c>
      <c r="I33" s="6" t="s">
        <v>328</v>
      </c>
      <c r="J33" s="7">
        <v>41974</v>
      </c>
      <c r="K33" s="7">
        <v>41974</v>
      </c>
      <c r="L33" s="7">
        <v>43070</v>
      </c>
      <c r="M33" s="4">
        <f ca="1">TODAY()</f>
        <v>42886</v>
      </c>
      <c r="N33" s="9">
        <f ca="1">INT((L33-M33)/30)</f>
        <v>6</v>
      </c>
      <c r="O33" s="19" t="s">
        <v>164</v>
      </c>
      <c r="P33" s="35"/>
    </row>
    <row r="34" spans="2:16" s="21" customFormat="1" ht="19.5" x14ac:dyDescent="0.3">
      <c r="B34" s="36">
        <v>2</v>
      </c>
      <c r="C34" s="37" t="s">
        <v>394</v>
      </c>
      <c r="D34" s="37">
        <v>5</v>
      </c>
      <c r="E34" s="37" t="s">
        <v>394</v>
      </c>
      <c r="F34" s="38">
        <v>3</v>
      </c>
      <c r="G34" s="33" t="s">
        <v>425</v>
      </c>
      <c r="H34" s="5" t="s">
        <v>329</v>
      </c>
      <c r="I34" s="6" t="s">
        <v>298</v>
      </c>
      <c r="J34" s="7">
        <v>41382</v>
      </c>
      <c r="K34" s="7">
        <v>41382</v>
      </c>
      <c r="L34" s="7">
        <v>41841</v>
      </c>
      <c r="M34" s="4">
        <f ca="1">TODAY()</f>
        <v>42886</v>
      </c>
      <c r="N34" s="12">
        <f ca="1">INT((L34-M34)/30)</f>
        <v>-35</v>
      </c>
      <c r="O34" s="19" t="s">
        <v>164</v>
      </c>
      <c r="P34" s="35"/>
    </row>
    <row r="35" spans="2:16" s="21" customFormat="1" ht="19.5" x14ac:dyDescent="0.3">
      <c r="B35" s="36">
        <v>2</v>
      </c>
      <c r="C35" s="37" t="s">
        <v>394</v>
      </c>
      <c r="D35" s="37">
        <v>5</v>
      </c>
      <c r="E35" s="37" t="s">
        <v>394</v>
      </c>
      <c r="F35" s="38">
        <v>3</v>
      </c>
      <c r="G35" s="33" t="s">
        <v>425</v>
      </c>
      <c r="H35" s="5" t="s">
        <v>330</v>
      </c>
      <c r="I35" s="6" t="s">
        <v>298</v>
      </c>
      <c r="J35" s="7">
        <v>41382</v>
      </c>
      <c r="K35" s="7">
        <v>41382</v>
      </c>
      <c r="L35" s="7">
        <v>41841</v>
      </c>
      <c r="M35" s="4">
        <f ca="1">TODAY()</f>
        <v>42886</v>
      </c>
      <c r="N35" s="12">
        <f ca="1">INT((L35-M35)/30)</f>
        <v>-35</v>
      </c>
      <c r="O35" s="19" t="s">
        <v>164</v>
      </c>
      <c r="P35" s="35"/>
    </row>
    <row r="36" spans="2:16" s="21" customFormat="1" ht="19.5" x14ac:dyDescent="0.3">
      <c r="B36" s="36">
        <v>2</v>
      </c>
      <c r="C36" s="37" t="s">
        <v>394</v>
      </c>
      <c r="D36" s="37">
        <v>6</v>
      </c>
      <c r="E36" s="37" t="s">
        <v>394</v>
      </c>
      <c r="F36" s="38">
        <v>1</v>
      </c>
      <c r="G36" s="17" t="s">
        <v>398</v>
      </c>
      <c r="H36" s="5" t="s">
        <v>340</v>
      </c>
      <c r="I36" s="6" t="s">
        <v>286</v>
      </c>
      <c r="J36" s="7">
        <v>39867</v>
      </c>
      <c r="K36" s="7">
        <v>39867</v>
      </c>
      <c r="L36" s="7">
        <v>40962</v>
      </c>
      <c r="M36" s="4">
        <f ca="1">TODAY()</f>
        <v>42886</v>
      </c>
      <c r="N36" s="12">
        <f ca="1">INT((L36-M36)/30)</f>
        <v>-65</v>
      </c>
      <c r="O36" s="19" t="s">
        <v>164</v>
      </c>
      <c r="P36" s="35"/>
    </row>
    <row r="37" spans="2:16" s="21" customFormat="1" ht="19.5" x14ac:dyDescent="0.3">
      <c r="B37" s="36">
        <v>2</v>
      </c>
      <c r="C37" s="37" t="s">
        <v>394</v>
      </c>
      <c r="D37" s="37">
        <v>6</v>
      </c>
      <c r="E37" s="37" t="s">
        <v>394</v>
      </c>
      <c r="F37" s="38">
        <v>2</v>
      </c>
      <c r="G37" s="33" t="s">
        <v>410</v>
      </c>
      <c r="H37" s="5" t="s">
        <v>341</v>
      </c>
      <c r="I37" s="6" t="s">
        <v>342</v>
      </c>
      <c r="J37" s="7">
        <v>41974</v>
      </c>
      <c r="K37" s="7">
        <v>41974</v>
      </c>
      <c r="L37" s="7">
        <v>43070</v>
      </c>
      <c r="M37" s="4">
        <f ca="1">TODAY()</f>
        <v>42886</v>
      </c>
      <c r="N37" s="9">
        <f ca="1">INT((L37-M37)/30)</f>
        <v>6</v>
      </c>
      <c r="O37" s="19" t="s">
        <v>164</v>
      </c>
      <c r="P37" s="35"/>
    </row>
    <row r="38" spans="2:16" s="21" customFormat="1" ht="19.5" x14ac:dyDescent="0.3">
      <c r="B38" s="36">
        <v>2</v>
      </c>
      <c r="C38" s="37" t="s">
        <v>394</v>
      </c>
      <c r="D38" s="37">
        <v>6</v>
      </c>
      <c r="E38" s="37" t="s">
        <v>394</v>
      </c>
      <c r="F38" s="38">
        <v>3</v>
      </c>
      <c r="G38" s="17" t="s">
        <v>404</v>
      </c>
      <c r="H38" s="5" t="s">
        <v>343</v>
      </c>
      <c r="I38" s="6" t="s">
        <v>344</v>
      </c>
      <c r="J38" s="7">
        <v>41852</v>
      </c>
      <c r="K38" s="7">
        <v>41852</v>
      </c>
      <c r="L38" s="7">
        <v>42948</v>
      </c>
      <c r="M38" s="4">
        <f ca="1">TODAY()</f>
        <v>42886</v>
      </c>
      <c r="N38" s="9">
        <f ca="1">INT((L38-M38)/30)</f>
        <v>2</v>
      </c>
      <c r="O38" s="19" t="s">
        <v>164</v>
      </c>
      <c r="P38" s="35"/>
    </row>
    <row r="39" spans="2:16" s="21" customFormat="1" ht="19.5" x14ac:dyDescent="0.3">
      <c r="B39" s="36">
        <v>2</v>
      </c>
      <c r="C39" s="37" t="s">
        <v>394</v>
      </c>
      <c r="D39" s="37">
        <v>6</v>
      </c>
      <c r="E39" s="37" t="s">
        <v>394</v>
      </c>
      <c r="F39" s="38">
        <v>5</v>
      </c>
      <c r="G39" s="33" t="s">
        <v>239</v>
      </c>
      <c r="H39" s="5" t="s">
        <v>345</v>
      </c>
      <c r="I39" s="6" t="s">
        <v>346</v>
      </c>
      <c r="J39" s="7">
        <v>41382</v>
      </c>
      <c r="K39" s="7">
        <v>41382</v>
      </c>
      <c r="L39" s="7">
        <v>42478</v>
      </c>
      <c r="M39" s="4">
        <f ca="1">TODAY()</f>
        <v>42886</v>
      </c>
      <c r="N39" s="12">
        <f ca="1">INT((L39-M39)/30)</f>
        <v>-14</v>
      </c>
      <c r="O39" s="19" t="s">
        <v>164</v>
      </c>
      <c r="P39" s="35"/>
    </row>
    <row r="40" spans="2:16" s="21" customFormat="1" ht="19.5" x14ac:dyDescent="0.3">
      <c r="B40" s="36">
        <v>2</v>
      </c>
      <c r="C40" s="37" t="s">
        <v>394</v>
      </c>
      <c r="D40" s="37">
        <v>6</v>
      </c>
      <c r="E40" s="37" t="s">
        <v>394</v>
      </c>
      <c r="F40" s="38">
        <v>5</v>
      </c>
      <c r="G40" s="33" t="s">
        <v>239</v>
      </c>
      <c r="H40" s="5" t="s">
        <v>345</v>
      </c>
      <c r="I40" s="6" t="s">
        <v>347</v>
      </c>
      <c r="J40" s="7">
        <v>41852</v>
      </c>
      <c r="K40" s="7">
        <v>41852</v>
      </c>
      <c r="L40" s="7">
        <v>42948</v>
      </c>
      <c r="M40" s="4">
        <f ca="1">TODAY()</f>
        <v>42886</v>
      </c>
      <c r="N40" s="9">
        <f ca="1">INT((L40-M40)/30)</f>
        <v>2</v>
      </c>
      <c r="O40" s="19" t="s">
        <v>164</v>
      </c>
      <c r="P40" s="35"/>
    </row>
    <row r="41" spans="2:16" s="21" customFormat="1" ht="19.5" x14ac:dyDescent="0.3">
      <c r="B41" s="36">
        <v>2</v>
      </c>
      <c r="C41" s="37" t="s">
        <v>394</v>
      </c>
      <c r="D41" s="37">
        <v>7</v>
      </c>
      <c r="E41" s="37" t="s">
        <v>394</v>
      </c>
      <c r="F41" s="38">
        <v>1</v>
      </c>
      <c r="G41" s="33" t="s">
        <v>238</v>
      </c>
      <c r="H41" s="5" t="s">
        <v>348</v>
      </c>
      <c r="I41" s="6" t="s">
        <v>349</v>
      </c>
      <c r="J41" s="7">
        <v>41640</v>
      </c>
      <c r="K41" s="7">
        <v>41640</v>
      </c>
      <c r="L41" s="7">
        <v>42736</v>
      </c>
      <c r="M41" s="4">
        <f ca="1">TODAY()</f>
        <v>42886</v>
      </c>
      <c r="N41" s="12">
        <f ca="1">INT((L41-M41)/30)</f>
        <v>-5</v>
      </c>
      <c r="O41" s="19" t="s">
        <v>164</v>
      </c>
      <c r="P41" s="35"/>
    </row>
    <row r="42" spans="2:16" s="21" customFormat="1" ht="19.5" hidden="1" x14ac:dyDescent="0.3">
      <c r="B42" s="36">
        <v>2</v>
      </c>
      <c r="C42" s="37" t="s">
        <v>394</v>
      </c>
      <c r="D42" s="37">
        <v>8</v>
      </c>
      <c r="E42" s="37" t="s">
        <v>394</v>
      </c>
      <c r="F42" s="38">
        <v>1</v>
      </c>
      <c r="G42" s="33" t="s">
        <v>426</v>
      </c>
      <c r="H42" s="5" t="s">
        <v>355</v>
      </c>
      <c r="I42" s="6" t="s">
        <v>356</v>
      </c>
      <c r="J42" s="7">
        <v>40814</v>
      </c>
      <c r="K42" s="7">
        <v>40814</v>
      </c>
      <c r="L42" s="7">
        <v>41910</v>
      </c>
      <c r="M42" s="4">
        <f ca="1">TODAY()</f>
        <v>42886</v>
      </c>
      <c r="N42" s="12">
        <f ca="1">INT((L42-M42)/30)</f>
        <v>-33</v>
      </c>
      <c r="O42" s="19" t="s">
        <v>165</v>
      </c>
      <c r="P42" s="35" t="s">
        <v>501</v>
      </c>
    </row>
    <row r="43" spans="2:16" s="21" customFormat="1" ht="19.5" x14ac:dyDescent="0.3">
      <c r="B43" s="36">
        <v>3</v>
      </c>
      <c r="C43" s="37" t="s">
        <v>394</v>
      </c>
      <c r="D43" s="37">
        <v>1</v>
      </c>
      <c r="E43" s="37" t="s">
        <v>394</v>
      </c>
      <c r="F43" s="38">
        <v>1</v>
      </c>
      <c r="G43" s="33" t="s">
        <v>508</v>
      </c>
      <c r="H43" s="5" t="s">
        <v>359</v>
      </c>
      <c r="I43" s="6" t="s">
        <v>358</v>
      </c>
      <c r="J43" s="7">
        <v>39904</v>
      </c>
      <c r="K43" s="7">
        <v>39904</v>
      </c>
      <c r="L43" s="7">
        <v>41000</v>
      </c>
      <c r="M43" s="4">
        <f ca="1">TODAY()</f>
        <v>42886</v>
      </c>
      <c r="N43" s="12">
        <f ca="1">INT((L43-M43)/30)</f>
        <v>-63</v>
      </c>
      <c r="O43" s="19" t="s">
        <v>164</v>
      </c>
      <c r="P43" s="35"/>
    </row>
    <row r="44" spans="2:16" s="21" customFormat="1" ht="19.5" x14ac:dyDescent="0.3">
      <c r="B44" s="36">
        <v>3</v>
      </c>
      <c r="C44" s="37" t="s">
        <v>394</v>
      </c>
      <c r="D44" s="37">
        <v>1</v>
      </c>
      <c r="E44" s="37" t="s">
        <v>394</v>
      </c>
      <c r="F44" s="38">
        <v>1</v>
      </c>
      <c r="G44" s="33" t="s">
        <v>508</v>
      </c>
      <c r="H44" s="5" t="s">
        <v>374</v>
      </c>
      <c r="I44" s="6" t="s">
        <v>358</v>
      </c>
      <c r="J44" s="7">
        <v>39904</v>
      </c>
      <c r="K44" s="7">
        <v>39904</v>
      </c>
      <c r="L44" s="7">
        <v>41000</v>
      </c>
      <c r="M44" s="4">
        <f ca="1">TODAY()</f>
        <v>42886</v>
      </c>
      <c r="N44" s="12">
        <f ca="1">INT((L44-M44)/30)</f>
        <v>-63</v>
      </c>
      <c r="O44" s="19" t="s">
        <v>164</v>
      </c>
      <c r="P44" s="35"/>
    </row>
    <row r="45" spans="2:16" s="21" customFormat="1" ht="19.5" x14ac:dyDescent="0.3">
      <c r="B45" s="36">
        <v>3</v>
      </c>
      <c r="C45" s="37" t="s">
        <v>184</v>
      </c>
      <c r="D45" s="37">
        <v>1</v>
      </c>
      <c r="E45" s="37" t="s">
        <v>184</v>
      </c>
      <c r="F45" s="38">
        <v>3</v>
      </c>
      <c r="G45" s="33" t="s">
        <v>519</v>
      </c>
      <c r="H45" s="5" t="s">
        <v>280</v>
      </c>
      <c r="I45" s="6" t="s">
        <v>285</v>
      </c>
      <c r="J45" s="7">
        <v>42125</v>
      </c>
      <c r="K45" s="7">
        <v>42125</v>
      </c>
      <c r="L45" s="7">
        <v>43221</v>
      </c>
      <c r="M45" s="4">
        <f ca="1">TODAY()</f>
        <v>42886</v>
      </c>
      <c r="N45" s="8">
        <f ca="1">INT((L45-M45)/30)</f>
        <v>11</v>
      </c>
      <c r="O45" s="19" t="s">
        <v>164</v>
      </c>
      <c r="P45" s="35"/>
    </row>
    <row r="46" spans="2:16" s="21" customFormat="1" ht="19.5" x14ac:dyDescent="0.3">
      <c r="B46" s="36">
        <v>3</v>
      </c>
      <c r="C46" s="37" t="s">
        <v>394</v>
      </c>
      <c r="D46" s="37">
        <v>1</v>
      </c>
      <c r="E46" s="37" t="s">
        <v>394</v>
      </c>
      <c r="F46" s="38">
        <v>3</v>
      </c>
      <c r="G46" s="33" t="s">
        <v>519</v>
      </c>
      <c r="H46" s="5" t="s">
        <v>281</v>
      </c>
      <c r="I46" s="6" t="s">
        <v>285</v>
      </c>
      <c r="J46" s="7">
        <v>42125</v>
      </c>
      <c r="K46" s="7">
        <v>42125</v>
      </c>
      <c r="L46" s="7">
        <v>43221</v>
      </c>
      <c r="M46" s="4">
        <f ca="1">TODAY()</f>
        <v>42886</v>
      </c>
      <c r="N46" s="8">
        <f ca="1">INT((L46-M46)/30)</f>
        <v>11</v>
      </c>
      <c r="O46" s="19" t="s">
        <v>164</v>
      </c>
      <c r="P46" s="35"/>
    </row>
    <row r="47" spans="2:16" s="21" customFormat="1" ht="19.5" x14ac:dyDescent="0.3">
      <c r="B47" s="36">
        <v>3</v>
      </c>
      <c r="C47" s="37" t="s">
        <v>394</v>
      </c>
      <c r="D47" s="37">
        <v>1</v>
      </c>
      <c r="E47" s="37" t="s">
        <v>394</v>
      </c>
      <c r="F47" s="38">
        <v>4</v>
      </c>
      <c r="G47" s="33" t="s">
        <v>520</v>
      </c>
      <c r="H47" s="5" t="s">
        <v>360</v>
      </c>
      <c r="I47" s="6" t="s">
        <v>361</v>
      </c>
      <c r="J47" s="7">
        <v>41667</v>
      </c>
      <c r="K47" s="7">
        <v>41667</v>
      </c>
      <c r="L47" s="7">
        <v>42763</v>
      </c>
      <c r="M47" s="4">
        <f ca="1">TODAY()</f>
        <v>42886</v>
      </c>
      <c r="N47" s="12">
        <f ca="1">INT((L47-M47)/30)</f>
        <v>-5</v>
      </c>
      <c r="O47" s="19" t="s">
        <v>164</v>
      </c>
      <c r="P47" s="35"/>
    </row>
    <row r="48" spans="2:16" s="21" customFormat="1" ht="19.5" x14ac:dyDescent="0.3">
      <c r="B48" s="36">
        <v>3</v>
      </c>
      <c r="C48" s="37" t="s">
        <v>394</v>
      </c>
      <c r="D48" s="37">
        <v>1</v>
      </c>
      <c r="E48" s="37" t="s">
        <v>394</v>
      </c>
      <c r="F48" s="38">
        <v>4</v>
      </c>
      <c r="G48" s="33" t="s">
        <v>520</v>
      </c>
      <c r="H48" s="5" t="s">
        <v>362</v>
      </c>
      <c r="I48" s="6" t="s">
        <v>363</v>
      </c>
      <c r="J48" s="7">
        <v>41667</v>
      </c>
      <c r="K48" s="7">
        <v>41667</v>
      </c>
      <c r="L48" s="7">
        <v>42763</v>
      </c>
      <c r="M48" s="4">
        <f ca="1">TODAY()</f>
        <v>42886</v>
      </c>
      <c r="N48" s="12">
        <f ca="1">INT((L48-M48)/30)</f>
        <v>-5</v>
      </c>
      <c r="O48" s="19" t="s">
        <v>164</v>
      </c>
      <c r="P48" s="35"/>
    </row>
    <row r="49" spans="2:16" s="21" customFormat="1" ht="19.5" x14ac:dyDescent="0.3">
      <c r="B49" s="36">
        <v>3</v>
      </c>
      <c r="C49" s="37" t="s">
        <v>394</v>
      </c>
      <c r="D49" s="37">
        <v>2</v>
      </c>
      <c r="E49" s="37" t="s">
        <v>394</v>
      </c>
      <c r="F49" s="38">
        <v>2</v>
      </c>
      <c r="G49" s="33" t="s">
        <v>509</v>
      </c>
      <c r="H49" s="5" t="s">
        <v>364</v>
      </c>
      <c r="I49" s="6" t="s">
        <v>365</v>
      </c>
      <c r="J49" s="7">
        <v>41974</v>
      </c>
      <c r="K49" s="7">
        <v>41974</v>
      </c>
      <c r="L49" s="7">
        <v>43070</v>
      </c>
      <c r="M49" s="4">
        <f ca="1">TODAY()</f>
        <v>42886</v>
      </c>
      <c r="N49" s="9">
        <f ca="1">INT((L49-M49)/30)</f>
        <v>6</v>
      </c>
      <c r="O49" s="19" t="s">
        <v>164</v>
      </c>
      <c r="P49" s="35"/>
    </row>
    <row r="50" spans="2:16" s="21" customFormat="1" ht="19.5" hidden="1" x14ac:dyDescent="0.3">
      <c r="B50" s="36">
        <v>3</v>
      </c>
      <c r="C50" s="37" t="s">
        <v>394</v>
      </c>
      <c r="D50" s="37">
        <v>2</v>
      </c>
      <c r="E50" s="37" t="s">
        <v>394</v>
      </c>
      <c r="F50" s="38">
        <v>3</v>
      </c>
      <c r="G50" s="33" t="s">
        <v>521</v>
      </c>
      <c r="H50" s="5" t="s">
        <v>366</v>
      </c>
      <c r="I50" s="6" t="s">
        <v>367</v>
      </c>
      <c r="J50" s="7">
        <v>41640</v>
      </c>
      <c r="K50" s="7">
        <v>41640</v>
      </c>
      <c r="L50" s="7">
        <v>42736</v>
      </c>
      <c r="M50" s="4">
        <f ca="1">TODAY()</f>
        <v>42886</v>
      </c>
      <c r="N50" s="12">
        <f ca="1">INT((L50-M50)/30)</f>
        <v>-5</v>
      </c>
      <c r="O50" s="19" t="s">
        <v>165</v>
      </c>
      <c r="P50" s="35" t="s">
        <v>501</v>
      </c>
    </row>
    <row r="51" spans="2:16" s="21" customFormat="1" ht="19.5" x14ac:dyDescent="0.3">
      <c r="B51" s="36">
        <v>3</v>
      </c>
      <c r="C51" s="37" t="s">
        <v>394</v>
      </c>
      <c r="D51" s="37">
        <v>2</v>
      </c>
      <c r="E51" s="37" t="s">
        <v>394</v>
      </c>
      <c r="F51" s="38">
        <v>4</v>
      </c>
      <c r="G51" s="33" t="s">
        <v>522</v>
      </c>
      <c r="H51" s="5" t="s">
        <v>368</v>
      </c>
      <c r="I51" s="6" t="s">
        <v>369</v>
      </c>
      <c r="J51" s="7">
        <v>41640</v>
      </c>
      <c r="K51" s="7">
        <v>41640</v>
      </c>
      <c r="L51" s="7">
        <v>42736</v>
      </c>
      <c r="M51" s="4">
        <f ca="1">TODAY()</f>
        <v>42886</v>
      </c>
      <c r="N51" s="12">
        <f ca="1">INT((L51-M51)/30)</f>
        <v>-5</v>
      </c>
      <c r="O51" s="19" t="s">
        <v>164</v>
      </c>
      <c r="P51" s="35"/>
    </row>
    <row r="52" spans="2:16" s="21" customFormat="1" ht="19.5" x14ac:dyDescent="0.3">
      <c r="B52" s="36">
        <v>3</v>
      </c>
      <c r="C52" s="37" t="s">
        <v>394</v>
      </c>
      <c r="D52" s="37">
        <v>3</v>
      </c>
      <c r="E52" s="37" t="s">
        <v>394</v>
      </c>
      <c r="F52" s="38">
        <v>1</v>
      </c>
      <c r="G52" s="17" t="s">
        <v>402</v>
      </c>
      <c r="H52" s="5" t="s">
        <v>370</v>
      </c>
      <c r="I52" s="6" t="s">
        <v>371</v>
      </c>
      <c r="J52" s="7">
        <v>41852</v>
      </c>
      <c r="K52" s="7">
        <v>41852</v>
      </c>
      <c r="L52" s="7">
        <v>42948</v>
      </c>
      <c r="M52" s="4">
        <f ca="1">TODAY()</f>
        <v>42886</v>
      </c>
      <c r="N52" s="9">
        <f ca="1">INT((L52-M52)/30)</f>
        <v>2</v>
      </c>
      <c r="O52" s="19" t="s">
        <v>164</v>
      </c>
      <c r="P52" s="35"/>
    </row>
    <row r="53" spans="2:16" s="21" customFormat="1" ht="19.5" x14ac:dyDescent="0.3">
      <c r="B53" s="36">
        <v>3</v>
      </c>
      <c r="C53" s="37" t="s">
        <v>394</v>
      </c>
      <c r="D53" s="37">
        <v>3</v>
      </c>
      <c r="E53" s="37" t="s">
        <v>394</v>
      </c>
      <c r="F53" s="38">
        <v>2</v>
      </c>
      <c r="G53" s="33" t="s">
        <v>523</v>
      </c>
      <c r="H53" s="5" t="s">
        <v>372</v>
      </c>
      <c r="I53" s="6" t="s">
        <v>373</v>
      </c>
      <c r="J53" s="7">
        <v>41974</v>
      </c>
      <c r="K53" s="7">
        <v>41974</v>
      </c>
      <c r="L53" s="7">
        <v>43070</v>
      </c>
      <c r="M53" s="4">
        <f ca="1">TODAY()</f>
        <v>42886</v>
      </c>
      <c r="N53" s="9">
        <f ca="1">INT((L53-M53)/30)</f>
        <v>6</v>
      </c>
      <c r="O53" s="19" t="s">
        <v>164</v>
      </c>
      <c r="P53" s="35"/>
    </row>
    <row r="54" spans="2:16" s="21" customFormat="1" ht="19.5" x14ac:dyDescent="0.3">
      <c r="B54" s="36">
        <v>3</v>
      </c>
      <c r="C54" s="37" t="s">
        <v>394</v>
      </c>
      <c r="D54" s="37">
        <v>3</v>
      </c>
      <c r="E54" s="37" t="s">
        <v>394</v>
      </c>
      <c r="F54" s="38">
        <v>5</v>
      </c>
      <c r="G54" s="33" t="s">
        <v>524</v>
      </c>
      <c r="H54" s="5" t="s">
        <v>375</v>
      </c>
      <c r="I54" s="6" t="s">
        <v>376</v>
      </c>
      <c r="J54" s="7">
        <v>41667</v>
      </c>
      <c r="K54" s="7">
        <v>41667</v>
      </c>
      <c r="L54" s="7">
        <v>42763</v>
      </c>
      <c r="M54" s="4">
        <f ca="1">TODAY()</f>
        <v>42886</v>
      </c>
      <c r="N54" s="12">
        <f ca="1">INT((L54-M54)/30)</f>
        <v>-5</v>
      </c>
      <c r="O54" s="19" t="s">
        <v>164</v>
      </c>
      <c r="P54" s="35"/>
    </row>
    <row r="55" spans="2:16" s="21" customFormat="1" ht="19.5" x14ac:dyDescent="0.3">
      <c r="B55" s="36">
        <v>3</v>
      </c>
      <c r="C55" s="37" t="s">
        <v>394</v>
      </c>
      <c r="D55" s="37">
        <v>3</v>
      </c>
      <c r="E55" s="37" t="s">
        <v>394</v>
      </c>
      <c r="F55" s="38">
        <v>6</v>
      </c>
      <c r="G55" s="33" t="s">
        <v>525</v>
      </c>
      <c r="H55" s="5" t="s">
        <v>282</v>
      </c>
      <c r="I55" s="6" t="s">
        <v>285</v>
      </c>
      <c r="J55" s="7">
        <v>42125</v>
      </c>
      <c r="K55" s="7">
        <v>42125</v>
      </c>
      <c r="L55" s="7">
        <v>43221</v>
      </c>
      <c r="M55" s="4">
        <f ca="1">TODAY()</f>
        <v>42886</v>
      </c>
      <c r="N55" s="8">
        <f ca="1">INT((L55-M55)/30)</f>
        <v>11</v>
      </c>
      <c r="O55" s="19" t="s">
        <v>164</v>
      </c>
      <c r="P55" s="35"/>
    </row>
    <row r="56" spans="2:16" s="21" customFormat="1" ht="19.5" x14ac:dyDescent="0.3">
      <c r="B56" s="36">
        <v>3</v>
      </c>
      <c r="C56" s="37" t="s">
        <v>394</v>
      </c>
      <c r="D56" s="37">
        <v>4</v>
      </c>
      <c r="E56" s="37" t="s">
        <v>394</v>
      </c>
      <c r="F56" s="38">
        <v>1</v>
      </c>
      <c r="G56" s="33" t="s">
        <v>526</v>
      </c>
      <c r="H56" s="5" t="s">
        <v>377</v>
      </c>
      <c r="I56" s="6" t="s">
        <v>378</v>
      </c>
      <c r="J56" s="7">
        <v>41852</v>
      </c>
      <c r="K56" s="7">
        <v>41852</v>
      </c>
      <c r="L56" s="7">
        <v>42948</v>
      </c>
      <c r="M56" s="4">
        <f ca="1">TODAY()</f>
        <v>42886</v>
      </c>
      <c r="N56" s="9">
        <f ca="1">INT((L56-M56)/30)</f>
        <v>2</v>
      </c>
      <c r="O56" s="19" t="s">
        <v>164</v>
      </c>
      <c r="P56" s="35"/>
    </row>
    <row r="57" spans="2:16" s="21" customFormat="1" ht="19.5" x14ac:dyDescent="0.3">
      <c r="B57" s="36">
        <v>3</v>
      </c>
      <c r="C57" s="37" t="s">
        <v>394</v>
      </c>
      <c r="D57" s="37">
        <v>4</v>
      </c>
      <c r="E57" s="37" t="s">
        <v>394</v>
      </c>
      <c r="F57" s="38">
        <v>2</v>
      </c>
      <c r="G57" s="33" t="s">
        <v>527</v>
      </c>
      <c r="H57" s="5" t="s">
        <v>379</v>
      </c>
      <c r="I57" s="6" t="s">
        <v>380</v>
      </c>
      <c r="J57" s="7">
        <v>41852</v>
      </c>
      <c r="K57" s="7">
        <v>41852</v>
      </c>
      <c r="L57" s="7">
        <v>42948</v>
      </c>
      <c r="M57" s="4">
        <f ca="1">TODAY()</f>
        <v>42886</v>
      </c>
      <c r="N57" s="9">
        <f ca="1">INT((L57-M57)/30)</f>
        <v>2</v>
      </c>
      <c r="O57" s="19" t="s">
        <v>164</v>
      </c>
      <c r="P57" s="35"/>
    </row>
    <row r="58" spans="2:16" s="21" customFormat="1" ht="19.5" x14ac:dyDescent="0.3">
      <c r="B58" s="36">
        <v>3</v>
      </c>
      <c r="C58" s="37" t="s">
        <v>394</v>
      </c>
      <c r="D58" s="37">
        <v>4</v>
      </c>
      <c r="E58" s="37" t="s">
        <v>394</v>
      </c>
      <c r="F58" s="38">
        <v>3</v>
      </c>
      <c r="G58" s="33" t="s">
        <v>528</v>
      </c>
      <c r="H58" s="5" t="s">
        <v>283</v>
      </c>
      <c r="I58" s="6" t="s">
        <v>285</v>
      </c>
      <c r="J58" s="7">
        <v>42125</v>
      </c>
      <c r="K58" s="7">
        <v>42125</v>
      </c>
      <c r="L58" s="7">
        <v>43221</v>
      </c>
      <c r="M58" s="4">
        <f ca="1">TODAY()</f>
        <v>42886</v>
      </c>
      <c r="N58" s="8">
        <f ca="1">INT((L58-M58)/30)</f>
        <v>11</v>
      </c>
      <c r="O58" s="19" t="s">
        <v>164</v>
      </c>
      <c r="P58" s="35"/>
    </row>
    <row r="59" spans="2:16" s="21" customFormat="1" ht="19.5" x14ac:dyDescent="0.3">
      <c r="B59" s="36">
        <v>3</v>
      </c>
      <c r="C59" s="37" t="s">
        <v>394</v>
      </c>
      <c r="D59" s="37">
        <v>5</v>
      </c>
      <c r="E59" s="37" t="s">
        <v>394</v>
      </c>
      <c r="F59" s="38">
        <v>1</v>
      </c>
      <c r="G59" s="17" t="s">
        <v>406</v>
      </c>
      <c r="H59" s="5" t="s">
        <v>405</v>
      </c>
      <c r="I59" s="6" t="s">
        <v>350</v>
      </c>
      <c r="J59" s="7">
        <v>41640</v>
      </c>
      <c r="K59" s="7">
        <v>41640</v>
      </c>
      <c r="L59" s="7">
        <v>42736</v>
      </c>
      <c r="M59" s="4">
        <f ca="1">TODAY()</f>
        <v>42886</v>
      </c>
      <c r="N59" s="12">
        <f ca="1">INT((L59-M59)/30)</f>
        <v>-5</v>
      </c>
      <c r="O59" s="19" t="s">
        <v>164</v>
      </c>
      <c r="P59" s="35"/>
    </row>
    <row r="60" spans="2:16" s="21" customFormat="1" ht="19.5" x14ac:dyDescent="0.3">
      <c r="B60" s="36">
        <v>3</v>
      </c>
      <c r="C60" s="37" t="s">
        <v>394</v>
      </c>
      <c r="D60" s="37">
        <v>5</v>
      </c>
      <c r="E60" s="37" t="s">
        <v>394</v>
      </c>
      <c r="F60" s="38">
        <v>4</v>
      </c>
      <c r="G60" s="17" t="s">
        <v>407</v>
      </c>
      <c r="H60" s="5" t="s">
        <v>351</v>
      </c>
      <c r="I60" s="6" t="s">
        <v>352</v>
      </c>
      <c r="J60" s="7">
        <v>41852</v>
      </c>
      <c r="K60" s="7">
        <v>41852</v>
      </c>
      <c r="L60" s="7">
        <v>42948</v>
      </c>
      <c r="M60" s="4">
        <f ca="1">TODAY()</f>
        <v>42886</v>
      </c>
      <c r="N60" s="9">
        <f ca="1">INT((L60-M60)/30)</f>
        <v>2</v>
      </c>
      <c r="O60" s="19" t="s">
        <v>164</v>
      </c>
      <c r="P60" s="35"/>
    </row>
    <row r="61" spans="2:16" s="21" customFormat="1" ht="19.5" x14ac:dyDescent="0.3">
      <c r="B61" s="36">
        <v>3</v>
      </c>
      <c r="C61" s="37" t="s">
        <v>394</v>
      </c>
      <c r="D61" s="37">
        <v>5</v>
      </c>
      <c r="E61" s="37" t="s">
        <v>394</v>
      </c>
      <c r="F61" s="38">
        <v>5</v>
      </c>
      <c r="G61" s="33" t="s">
        <v>529</v>
      </c>
      <c r="H61" s="5" t="s">
        <v>284</v>
      </c>
      <c r="I61" s="6" t="s">
        <v>285</v>
      </c>
      <c r="J61" s="7">
        <v>42125</v>
      </c>
      <c r="K61" s="7">
        <v>42125</v>
      </c>
      <c r="L61" s="7">
        <v>43221</v>
      </c>
      <c r="M61" s="4">
        <f ca="1">TODAY()</f>
        <v>42886</v>
      </c>
      <c r="N61" s="8">
        <f ca="1">INT((L61-M61)/30)</f>
        <v>11</v>
      </c>
      <c r="O61" s="19" t="s">
        <v>164</v>
      </c>
      <c r="P61" s="35"/>
    </row>
    <row r="62" spans="2:16" s="21" customFormat="1" ht="19.5" x14ac:dyDescent="0.3">
      <c r="B62" s="36">
        <v>3</v>
      </c>
      <c r="C62" s="37" t="s">
        <v>394</v>
      </c>
      <c r="D62" s="37">
        <v>5</v>
      </c>
      <c r="E62" s="37" t="s">
        <v>394</v>
      </c>
      <c r="F62" s="38">
        <v>6</v>
      </c>
      <c r="G62" s="33" t="s">
        <v>530</v>
      </c>
      <c r="H62" s="5" t="s">
        <v>353</v>
      </c>
      <c r="I62" s="6" t="s">
        <v>354</v>
      </c>
      <c r="J62" s="7">
        <v>41667</v>
      </c>
      <c r="K62" s="7">
        <v>41667</v>
      </c>
      <c r="L62" s="7">
        <v>42763</v>
      </c>
      <c r="M62" s="4">
        <f ca="1">TODAY()</f>
        <v>42886</v>
      </c>
      <c r="N62" s="12">
        <f ca="1">INT((L62-M62)/30)</f>
        <v>-5</v>
      </c>
      <c r="O62" s="19" t="s">
        <v>164</v>
      </c>
      <c r="P62" s="35"/>
    </row>
    <row r="63" spans="2:16" s="21" customFormat="1" ht="19.5" x14ac:dyDescent="0.3">
      <c r="B63" s="36">
        <v>4</v>
      </c>
      <c r="C63" s="37" t="s">
        <v>394</v>
      </c>
      <c r="D63" s="37">
        <v>1</v>
      </c>
      <c r="E63" s="37" t="s">
        <v>394</v>
      </c>
      <c r="F63" s="38">
        <v>1</v>
      </c>
      <c r="G63" s="17" t="s">
        <v>403</v>
      </c>
      <c r="H63" s="5" t="s">
        <v>381</v>
      </c>
      <c r="I63" s="6" t="s">
        <v>389</v>
      </c>
      <c r="J63" s="7">
        <v>42064</v>
      </c>
      <c r="K63" s="7">
        <v>42064</v>
      </c>
      <c r="L63" s="7">
        <v>43160</v>
      </c>
      <c r="M63" s="4">
        <f ca="1">TODAY()</f>
        <v>42886</v>
      </c>
      <c r="N63" s="8">
        <f ca="1">INT((L63-M63)/30)</f>
        <v>9</v>
      </c>
      <c r="O63" s="19" t="s">
        <v>164</v>
      </c>
      <c r="P63" s="35"/>
    </row>
    <row r="64" spans="2:16" s="21" customFormat="1" ht="19.5" x14ac:dyDescent="0.3">
      <c r="B64" s="36">
        <v>4</v>
      </c>
      <c r="C64" s="37" t="s">
        <v>394</v>
      </c>
      <c r="D64" s="37">
        <v>1</v>
      </c>
      <c r="E64" s="37" t="s">
        <v>394</v>
      </c>
      <c r="F64" s="38">
        <v>1</v>
      </c>
      <c r="G64" s="17" t="s">
        <v>403</v>
      </c>
      <c r="H64" s="5" t="s">
        <v>382</v>
      </c>
      <c r="I64" s="6" t="s">
        <v>389</v>
      </c>
      <c r="J64" s="7">
        <v>42064</v>
      </c>
      <c r="K64" s="7">
        <v>42064</v>
      </c>
      <c r="L64" s="7">
        <v>43160</v>
      </c>
      <c r="M64" s="4">
        <f ca="1">TODAY()</f>
        <v>42886</v>
      </c>
      <c r="N64" s="8">
        <f ca="1">INT((L64-M64)/30)</f>
        <v>9</v>
      </c>
      <c r="O64" s="19" t="s">
        <v>164</v>
      </c>
      <c r="P64" s="35"/>
    </row>
    <row r="65" spans="2:16" s="21" customFormat="1" ht="19.5" x14ac:dyDescent="0.3">
      <c r="B65" s="36">
        <v>4</v>
      </c>
      <c r="C65" s="37" t="s">
        <v>394</v>
      </c>
      <c r="D65" s="37">
        <v>1</v>
      </c>
      <c r="E65" s="37" t="s">
        <v>394</v>
      </c>
      <c r="F65" s="38">
        <v>1</v>
      </c>
      <c r="G65" s="17" t="s">
        <v>403</v>
      </c>
      <c r="H65" s="5" t="s">
        <v>383</v>
      </c>
      <c r="I65" s="6" t="s">
        <v>389</v>
      </c>
      <c r="J65" s="7">
        <v>42064</v>
      </c>
      <c r="K65" s="7">
        <v>42064</v>
      </c>
      <c r="L65" s="7">
        <v>43160</v>
      </c>
      <c r="M65" s="4">
        <f ca="1">TODAY()</f>
        <v>42886</v>
      </c>
      <c r="N65" s="8">
        <f ca="1">INT((L65-M65)/30)</f>
        <v>9</v>
      </c>
      <c r="O65" s="19" t="s">
        <v>164</v>
      </c>
      <c r="P65" s="35"/>
    </row>
    <row r="66" spans="2:16" s="21" customFormat="1" ht="19.5" x14ac:dyDescent="0.3">
      <c r="B66" s="36">
        <v>4</v>
      </c>
      <c r="C66" s="37" t="s">
        <v>394</v>
      </c>
      <c r="D66" s="37">
        <v>1</v>
      </c>
      <c r="E66" s="37" t="s">
        <v>394</v>
      </c>
      <c r="F66" s="38">
        <v>1</v>
      </c>
      <c r="G66" s="17" t="s">
        <v>403</v>
      </c>
      <c r="H66" s="5" t="s">
        <v>384</v>
      </c>
      <c r="I66" s="6" t="s">
        <v>389</v>
      </c>
      <c r="J66" s="7">
        <v>42064</v>
      </c>
      <c r="K66" s="7">
        <v>42064</v>
      </c>
      <c r="L66" s="7">
        <v>43160</v>
      </c>
      <c r="M66" s="4">
        <f ca="1">TODAY()</f>
        <v>42886</v>
      </c>
      <c r="N66" s="8">
        <f ca="1">INT((L66-M66)/30)</f>
        <v>9</v>
      </c>
      <c r="O66" s="19" t="s">
        <v>164</v>
      </c>
      <c r="P66" s="35"/>
    </row>
    <row r="67" spans="2:16" s="21" customFormat="1" ht="19.5" x14ac:dyDescent="0.3">
      <c r="B67" s="36">
        <v>4</v>
      </c>
      <c r="C67" s="37" t="s">
        <v>394</v>
      </c>
      <c r="D67" s="37">
        <v>1</v>
      </c>
      <c r="E67" s="37" t="s">
        <v>394</v>
      </c>
      <c r="F67" s="38">
        <v>1</v>
      </c>
      <c r="G67" s="17" t="s">
        <v>403</v>
      </c>
      <c r="H67" s="5" t="s">
        <v>385</v>
      </c>
      <c r="I67" s="6" t="s">
        <v>389</v>
      </c>
      <c r="J67" s="7">
        <v>42064</v>
      </c>
      <c r="K67" s="7">
        <v>42064</v>
      </c>
      <c r="L67" s="7">
        <v>43160</v>
      </c>
      <c r="M67" s="4">
        <f ca="1">TODAY()</f>
        <v>42886</v>
      </c>
      <c r="N67" s="8">
        <f ca="1">INT((L67-M67)/30)</f>
        <v>9</v>
      </c>
      <c r="O67" s="19" t="s">
        <v>164</v>
      </c>
      <c r="P67" s="35"/>
    </row>
    <row r="68" spans="2:16" s="21" customFormat="1" ht="19.5" x14ac:dyDescent="0.3">
      <c r="B68" s="36">
        <v>4</v>
      </c>
      <c r="C68" s="37" t="s">
        <v>394</v>
      </c>
      <c r="D68" s="37">
        <v>1</v>
      </c>
      <c r="E68" s="37" t="s">
        <v>394</v>
      </c>
      <c r="F68" s="38">
        <v>1</v>
      </c>
      <c r="G68" s="17" t="s">
        <v>403</v>
      </c>
      <c r="H68" s="5" t="s">
        <v>386</v>
      </c>
      <c r="I68" s="6" t="s">
        <v>389</v>
      </c>
      <c r="J68" s="7">
        <v>42064</v>
      </c>
      <c r="K68" s="7">
        <v>42064</v>
      </c>
      <c r="L68" s="7">
        <v>43160</v>
      </c>
      <c r="M68" s="4">
        <f ca="1">TODAY()</f>
        <v>42886</v>
      </c>
      <c r="N68" s="8">
        <f ca="1">INT((L68-M68)/30)</f>
        <v>9</v>
      </c>
      <c r="O68" s="19" t="s">
        <v>164</v>
      </c>
      <c r="P68" s="35"/>
    </row>
    <row r="69" spans="2:16" s="21" customFormat="1" ht="19.5" x14ac:dyDescent="0.3">
      <c r="B69" s="36">
        <v>4</v>
      </c>
      <c r="C69" s="37" t="s">
        <v>394</v>
      </c>
      <c r="D69" s="37">
        <v>1</v>
      </c>
      <c r="E69" s="37" t="s">
        <v>394</v>
      </c>
      <c r="F69" s="38">
        <v>1</v>
      </c>
      <c r="G69" s="17" t="s">
        <v>403</v>
      </c>
      <c r="H69" s="5" t="s">
        <v>387</v>
      </c>
      <c r="I69" s="6" t="s">
        <v>389</v>
      </c>
      <c r="J69" s="7">
        <v>42064</v>
      </c>
      <c r="K69" s="7">
        <v>42064</v>
      </c>
      <c r="L69" s="7">
        <v>43160</v>
      </c>
      <c r="M69" s="4">
        <f ca="1">TODAY()</f>
        <v>42886</v>
      </c>
      <c r="N69" s="8">
        <f ca="1">INT((L69-M69)/30)</f>
        <v>9</v>
      </c>
      <c r="O69" s="19" t="s">
        <v>164</v>
      </c>
      <c r="P69" s="35"/>
    </row>
    <row r="70" spans="2:16" s="21" customFormat="1" ht="19.5" x14ac:dyDescent="0.3">
      <c r="B70" s="36">
        <v>4</v>
      </c>
      <c r="C70" s="37" t="s">
        <v>394</v>
      </c>
      <c r="D70" s="37">
        <v>1</v>
      </c>
      <c r="E70" s="37" t="s">
        <v>394</v>
      </c>
      <c r="F70" s="38">
        <v>1</v>
      </c>
      <c r="G70" s="17" t="s">
        <v>403</v>
      </c>
      <c r="H70" s="5" t="s">
        <v>388</v>
      </c>
      <c r="I70" s="6" t="s">
        <v>389</v>
      </c>
      <c r="J70" s="7">
        <v>42064</v>
      </c>
      <c r="K70" s="7">
        <v>42064</v>
      </c>
      <c r="L70" s="7">
        <v>43160</v>
      </c>
      <c r="M70" s="4">
        <f ca="1">TODAY()</f>
        <v>42886</v>
      </c>
      <c r="N70" s="8">
        <f ca="1">INT((L70-M70)/30)</f>
        <v>9</v>
      </c>
      <c r="O70" s="19" t="s">
        <v>164</v>
      </c>
      <c r="P70" s="35"/>
    </row>
    <row r="71" spans="2:16" s="21" customFormat="1" ht="19.5" x14ac:dyDescent="0.3">
      <c r="B71" s="36">
        <v>5</v>
      </c>
      <c r="C71" s="37" t="s">
        <v>394</v>
      </c>
      <c r="D71" s="37">
        <v>1</v>
      </c>
      <c r="E71" s="37" t="s">
        <v>394</v>
      </c>
      <c r="F71" s="38">
        <v>2</v>
      </c>
      <c r="G71" s="17" t="s">
        <v>408</v>
      </c>
      <c r="H71" s="5" t="s">
        <v>390</v>
      </c>
      <c r="I71" s="6" t="s">
        <v>391</v>
      </c>
      <c r="J71" s="7">
        <v>41821</v>
      </c>
      <c r="K71" s="7">
        <v>41821</v>
      </c>
      <c r="L71" s="7">
        <v>42917</v>
      </c>
      <c r="M71" s="4">
        <f ca="1">TODAY()</f>
        <v>42886</v>
      </c>
      <c r="N71" s="9">
        <f ca="1">INT((L71-M71)/30)</f>
        <v>1</v>
      </c>
      <c r="O71" s="19" t="s">
        <v>164</v>
      </c>
      <c r="P71" s="35"/>
    </row>
    <row r="72" spans="2:16" s="21" customFormat="1" ht="19.5" x14ac:dyDescent="0.3">
      <c r="B72" s="36">
        <v>8</v>
      </c>
      <c r="C72" s="37" t="s">
        <v>394</v>
      </c>
      <c r="D72" s="37">
        <v>1</v>
      </c>
      <c r="E72" s="37" t="s">
        <v>394</v>
      </c>
      <c r="F72" s="38">
        <v>1</v>
      </c>
      <c r="G72" s="33" t="s">
        <v>531</v>
      </c>
      <c r="H72" s="5" t="s">
        <v>392</v>
      </c>
      <c r="I72" s="6" t="s">
        <v>393</v>
      </c>
      <c r="J72" s="7">
        <v>41640</v>
      </c>
      <c r="K72" s="7">
        <v>41640</v>
      </c>
      <c r="L72" s="7">
        <v>42736</v>
      </c>
      <c r="M72" s="4">
        <f ca="1">TODAY()</f>
        <v>42886</v>
      </c>
      <c r="N72" s="12">
        <f ca="1">INT((L72-M72)/30)</f>
        <v>-5</v>
      </c>
      <c r="O72" s="19" t="s">
        <v>164</v>
      </c>
      <c r="P72" s="35"/>
    </row>
    <row r="73" spans="2:16" s="61" customFormat="1" ht="20.25" customHeight="1" thickBot="1" x14ac:dyDescent="0.35">
      <c r="B73" s="13" t="s">
        <v>215</v>
      </c>
      <c r="C73" s="39"/>
      <c r="D73" s="39"/>
      <c r="E73" s="39"/>
      <c r="F73" s="40"/>
      <c r="G73" s="40"/>
      <c r="H73" s="41"/>
      <c r="I73" s="41"/>
      <c r="J73" s="41"/>
      <c r="K73" s="41"/>
      <c r="L73" s="41"/>
      <c r="M73" s="41"/>
      <c r="N73" s="41"/>
      <c r="O73" s="41"/>
      <c r="P73" s="42"/>
    </row>
    <row r="74" spans="2:16" s="21" customFormat="1" x14ac:dyDescent="0.3">
      <c r="B74" s="11"/>
      <c r="C74" s="11"/>
      <c r="D74" s="11"/>
      <c r="E74" s="11"/>
      <c r="F74" s="11"/>
      <c r="I74" s="62"/>
      <c r="J74" s="63"/>
      <c r="K74" s="63"/>
      <c r="L74" s="63"/>
      <c r="M74" s="64"/>
      <c r="N74" s="20"/>
      <c r="O74" s="20"/>
    </row>
    <row r="75" spans="2:16" s="21" customFormat="1" x14ac:dyDescent="0.3">
      <c r="B75" s="11"/>
      <c r="C75" s="11"/>
      <c r="D75" s="11"/>
      <c r="E75" s="11"/>
      <c r="F75" s="11"/>
      <c r="I75" s="62"/>
      <c r="J75" s="63"/>
      <c r="K75" s="63"/>
      <c r="L75" s="63"/>
      <c r="M75" s="65"/>
      <c r="N75" s="20"/>
      <c r="O75" s="20"/>
    </row>
    <row r="76" spans="2:16" s="21" customFormat="1" ht="31.5" x14ac:dyDescent="0.4">
      <c r="B76" s="11"/>
      <c r="C76" s="11"/>
      <c r="D76" s="11"/>
      <c r="E76" s="11"/>
      <c r="F76" s="11"/>
      <c r="G76" s="88" t="s">
        <v>428</v>
      </c>
      <c r="H76" s="88"/>
      <c r="I76" s="88"/>
      <c r="J76" s="88"/>
      <c r="K76" s="88"/>
      <c r="L76" s="88"/>
      <c r="M76" s="88"/>
      <c r="N76" s="88"/>
      <c r="O76" s="20"/>
    </row>
    <row r="77" spans="2:16" s="21" customFormat="1" ht="19.5" x14ac:dyDescent="0.3">
      <c r="B77" s="36">
        <v>2</v>
      </c>
      <c r="C77" s="37" t="s">
        <v>177</v>
      </c>
      <c r="D77" s="37">
        <v>1</v>
      </c>
      <c r="E77" s="37" t="s">
        <v>177</v>
      </c>
      <c r="F77" s="38">
        <v>2</v>
      </c>
      <c r="G77" s="33" t="s">
        <v>517</v>
      </c>
      <c r="H77" s="5" t="s">
        <v>304</v>
      </c>
      <c r="I77" s="6" t="s">
        <v>305</v>
      </c>
      <c r="J77" s="7">
        <v>39904</v>
      </c>
      <c r="K77" s="7">
        <v>39904</v>
      </c>
      <c r="L77" s="7">
        <v>41000</v>
      </c>
      <c r="M77" s="4">
        <f ca="1">TODAY()</f>
        <v>42886</v>
      </c>
      <c r="N77" s="12">
        <f ca="1">INT((L77-M77)/30)</f>
        <v>-63</v>
      </c>
      <c r="O77" s="19" t="s">
        <v>165</v>
      </c>
      <c r="P77" s="35" t="s">
        <v>501</v>
      </c>
    </row>
    <row r="78" spans="2:16" s="21" customFormat="1" ht="19.5" x14ac:dyDescent="0.3">
      <c r="B78" s="36">
        <v>2</v>
      </c>
      <c r="C78" s="37" t="s">
        <v>177</v>
      </c>
      <c r="D78" s="37">
        <v>1</v>
      </c>
      <c r="E78" s="37" t="s">
        <v>177</v>
      </c>
      <c r="F78" s="38">
        <v>2</v>
      </c>
      <c r="G78" s="33" t="s">
        <v>517</v>
      </c>
      <c r="H78" s="5" t="s">
        <v>357</v>
      </c>
      <c r="I78" s="6" t="s">
        <v>305</v>
      </c>
      <c r="J78" s="7">
        <v>39904</v>
      </c>
      <c r="K78" s="7">
        <v>39904</v>
      </c>
      <c r="L78" s="7">
        <v>41000</v>
      </c>
      <c r="M78" s="4">
        <f ca="1">TODAY()</f>
        <v>42886</v>
      </c>
      <c r="N78" s="12">
        <f ca="1">INT((L78-M78)/30)</f>
        <v>-63</v>
      </c>
      <c r="O78" s="19" t="s">
        <v>165</v>
      </c>
      <c r="P78" s="35" t="s">
        <v>501</v>
      </c>
    </row>
    <row r="79" spans="2:16" s="21" customFormat="1" ht="19.5" x14ac:dyDescent="0.3">
      <c r="B79" s="36">
        <v>2</v>
      </c>
      <c r="C79" s="37" t="s">
        <v>177</v>
      </c>
      <c r="D79" s="37">
        <v>8</v>
      </c>
      <c r="E79" s="37" t="s">
        <v>177</v>
      </c>
      <c r="F79" s="38">
        <v>1</v>
      </c>
      <c r="G79" s="33" t="s">
        <v>426</v>
      </c>
      <c r="H79" s="5" t="s">
        <v>355</v>
      </c>
      <c r="I79" s="6" t="s">
        <v>309</v>
      </c>
      <c r="J79" s="7">
        <v>40814</v>
      </c>
      <c r="K79" s="7">
        <v>40814</v>
      </c>
      <c r="L79" s="7">
        <v>41910</v>
      </c>
      <c r="M79" s="4">
        <f ca="1">TODAY()</f>
        <v>42886</v>
      </c>
      <c r="N79" s="12">
        <f ca="1">INT((L79-M79)/30)</f>
        <v>-33</v>
      </c>
      <c r="O79" s="19" t="s">
        <v>165</v>
      </c>
      <c r="P79" s="35" t="s">
        <v>501</v>
      </c>
    </row>
    <row r="80" spans="2:16" s="21" customFormat="1" ht="19.5" x14ac:dyDescent="0.3">
      <c r="B80" s="36">
        <v>3</v>
      </c>
      <c r="C80" s="37" t="s">
        <v>177</v>
      </c>
      <c r="D80" s="37">
        <v>2</v>
      </c>
      <c r="E80" s="37" t="s">
        <v>177</v>
      </c>
      <c r="F80" s="38">
        <v>3</v>
      </c>
      <c r="G80" s="33" t="s">
        <v>521</v>
      </c>
      <c r="H80" s="5" t="s">
        <v>366</v>
      </c>
      <c r="I80" s="6" t="s">
        <v>367</v>
      </c>
      <c r="J80" s="7">
        <v>41640</v>
      </c>
      <c r="K80" s="7">
        <v>41640</v>
      </c>
      <c r="L80" s="7">
        <v>42736</v>
      </c>
      <c r="M80" s="4">
        <f ca="1">TODAY()</f>
        <v>42886</v>
      </c>
      <c r="N80" s="12">
        <f ca="1">INT((L80-M80)/30)</f>
        <v>-5</v>
      </c>
      <c r="O80" s="19" t="s">
        <v>165</v>
      </c>
      <c r="P80" s="35" t="s">
        <v>501</v>
      </c>
    </row>
    <row r="88" spans="7:7" ht="19.5" x14ac:dyDescent="0.3">
      <c r="G88" s="1"/>
    </row>
    <row r="89" spans="7:7" ht="19.5" x14ac:dyDescent="0.3">
      <c r="G89" s="1"/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73">
      <sortCondition ref="N2:N3"/>
    </sortState>
  </autoFilter>
  <sortState ref="B5:P72">
    <sortCondition ref="B2"/>
    <sortCondition ref="D2"/>
    <sortCondition ref="F2"/>
  </sortState>
  <mergeCells count="12">
    <mergeCell ref="G76:N76"/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74:P76 P1 P4:P72 P81:P1048576">
    <cfRule type="colorScale" priority="9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77">
    <cfRule type="colorScale" priority="4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78">
    <cfRule type="colorScale" priority="3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79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P80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:O72 O74:O1048576">
      <formula1>$Q$2:$Q$3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CAAC证书</vt:lpstr>
      <vt:lpstr>FAA证书</vt:lpstr>
      <vt:lpstr>ICAO证书</vt:lpstr>
      <vt:lpstr>ICAO证书!Print_Titles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2017-05-31T05:11:05Z</dcterms:modified>
</cp:coreProperties>
</file>